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Info" sheetId="1" state="visible" r:id="rId1"/>
    <sheet name="Daily Log" sheetId="2" state="visible" r:id="rId2"/>
    <sheet name="Daily Summary" sheetId="3" state="visible" r:id="rId3"/>
    <sheet name="Recipe Reference" sheetId="4" state="visible" r:id="rId4"/>
    <sheet name="Glucose Tracker" sheetId="5" state="visible" r:id="rId5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 mmm"/>
  </numFmts>
  <fonts count="9">
    <font>
      <name val="Calibri"/>
      <family val="2"/>
      <color theme="1"/>
      <sz val="11"/>
      <scheme val="minor"/>
    </font>
    <font>
      <name val="Arial"/>
      <charset val="1"/>
      <b val="1"/>
      <color rgb="FF1F4E79"/>
      <sz val="14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color rgb="FF1F4E79"/>
      <sz val="11"/>
    </font>
    <font>
      <name val="Arial"/>
      <charset val="1"/>
      <b val="1"/>
      <color rgb="FFFFFFFF"/>
      <sz val="11"/>
    </font>
    <font>
      <name val="Arial"/>
      <charset val="1"/>
      <i val="1"/>
      <color rgb="FF666666"/>
      <sz val="9"/>
    </font>
    <font>
      <name val="Arial"/>
      <charset val="1"/>
      <b val="1"/>
      <color rgb="FFCC0000"/>
      <sz val="10"/>
    </font>
    <font>
      <name val="Arial"/>
      <charset val="1"/>
      <b val="1"/>
      <sz val="11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70AD47"/>
        <bgColor rgb="FF339966"/>
      </patternFill>
    </fill>
    <fill>
      <patternFill patternType="solid">
        <fgColor rgb="FFFF6B6B"/>
        <bgColor rgb="FFFF6600"/>
      </patternFill>
    </fill>
  </fills>
  <borders count="3">
    <border>
      <left/>
      <right/>
      <top/>
      <bottom/>
      <diagonal/>
    </border>
    <border>
      <left/>
      <right/>
      <top style="medium">
        <color rgb="FF1F4E7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2" borderId="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vertical="bottom"/>
    </xf>
    <xf numFmtId="164" fontId="3" fillId="0" borderId="2" applyAlignment="1" pivotButton="0" quotePrefix="0" xfId="0">
      <alignment horizontal="center" vertical="bottom"/>
    </xf>
    <xf numFmtId="0" fontId="3" fillId="0" borderId="2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8" fillId="4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164" fontId="3" fillId="0" borderId="2" applyAlignment="1" pivotButton="0" quotePrefix="0" xfId="0">
      <alignment vertical="bottom"/>
    </xf>
    <xf numFmtId="0" fontId="3" fillId="3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B18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20" customWidth="1" min="1" max="1"/>
    <col width="50" customWidth="1" min="2" max="2"/>
  </cols>
  <sheetData>
    <row r="1" ht="17.35" customHeight="1">
      <c r="A1" s="1" t="inlineStr">
        <is>
          <t>Meal Planning Diary</t>
        </is>
      </c>
    </row>
    <row r="2" ht="15" customHeight="1">
      <c r="A2" s="2" t="inlineStr">
        <is>
          <t>Patient</t>
        </is>
      </c>
      <c r="B2" s="3" t="inlineStr">
        <is>
          <t>Sam</t>
        </is>
      </c>
    </row>
    <row r="3" ht="15" customHeight="1">
      <c r="A3" s="2" t="inlineStr">
        <is>
          <t>Practitioner</t>
        </is>
      </c>
      <c r="B3" s="3" t="inlineStr">
        <is>
          <t>Dr Lelde</t>
        </is>
      </c>
    </row>
    <row r="4" ht="15" customHeight="1">
      <c r="A4" s="2" t="inlineStr">
        <is>
          <t>Period</t>
        </is>
      </c>
      <c r="B4" s="3" t="inlineStr">
        <is>
          <t>23 Feb 2026 - 20 Mar 2026</t>
        </is>
      </c>
    </row>
    <row r="5" ht="15" customHeight="1">
      <c r="A5" s="2" t="inlineStr">
        <is>
          <t>First Call</t>
        </is>
      </c>
      <c r="B5" s="3" t="inlineStr">
        <is>
          <t>20 Mar 2026</t>
        </is>
      </c>
    </row>
    <row r="6" ht="15" customHeight="1">
      <c r="A6" s="4" t="n"/>
    </row>
    <row r="7" ht="15" customHeight="1">
      <c r="A7" s="4" t="inlineStr">
        <is>
          <t>Data Sources</t>
        </is>
      </c>
    </row>
    <row r="8" ht="15" customHeight="1">
      <c r="A8" s="2" t="inlineStr">
        <is>
          <t>Recipes</t>
        </is>
      </c>
      <c r="B8" s="3" t="inlineStr">
        <is>
          <t>Notion - Weekly Meals v2 / Recipe Database</t>
        </is>
      </c>
    </row>
    <row r="9" ht="15" customHeight="1">
      <c r="A9" s="2" t="inlineStr">
        <is>
          <t>Glucose</t>
        </is>
      </c>
      <c r="B9" s="3" t="inlineStr">
        <is>
          <t>Manual entry (Dexcom integration planned)</t>
        </is>
      </c>
    </row>
    <row r="10" ht="15" customHeight="1">
      <c r="A10" s="2" t="inlineStr">
        <is>
          <t>Activity/Sleep</t>
        </is>
      </c>
      <c r="B10" s="3" t="inlineStr">
        <is>
          <t>Oura Ring (integration planned)</t>
        </is>
      </c>
    </row>
    <row r="11" ht="15" customHeight="1">
      <c r="A11" s="4" t="n"/>
    </row>
    <row r="12" ht="15" customHeight="1">
      <c r="A12" s="4" t="inlineStr">
        <is>
          <t>Nutritional Estimates</t>
        </is>
      </c>
    </row>
    <row r="13" ht="15" customHeight="1">
      <c r="A13" s="2" t="inlineStr">
        <is>
          <t>Method</t>
        </is>
      </c>
      <c r="B13" s="3" t="inlineStr">
        <is>
          <t>Calculated from ingredient lists in Notion recipes</t>
        </is>
      </c>
    </row>
    <row r="14" ht="15" customHeight="1">
      <c r="A14" s="2" t="inlineStr">
        <is>
          <t>Accuracy</t>
        </is>
      </c>
      <c r="B14" s="3" t="inlineStr">
        <is>
          <t>Estimates only - based on standard nutritional databases</t>
        </is>
      </c>
    </row>
    <row r="15" ht="15" customHeight="1">
      <c r="A15" s="4" t="n"/>
    </row>
    <row r="16" ht="15" customHeight="1">
      <c r="A16" s="4" t="inlineStr">
        <is>
          <t>Glucose Thresholds</t>
        </is>
      </c>
    </row>
    <row r="17" ht="15" customHeight="1">
      <c r="A17" s="2" t="inlineStr">
        <is>
          <t>Target range</t>
        </is>
      </c>
      <c r="B17" s="3" t="inlineStr">
        <is>
          <t>4.0 - 7.8 mmol/L (per Dr Lelde)</t>
        </is>
      </c>
    </row>
    <row r="18" ht="15" customHeight="1">
      <c r="A18" s="2" t="inlineStr">
        <is>
          <t>Flag threshold</t>
        </is>
      </c>
      <c r="B18" s="3" t="inlineStr">
        <is>
          <t>&gt;7.8 mmol/L post-meal</t>
        </is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/>
  </sheetPr>
  <dimension ref="A1:L105"/>
  <sheetViews>
    <sheetView view="normal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6796875" defaultRowHeight="15" outlineLevelRow="0"/>
  <cols>
    <col width="12" customWidth="1" min="1" max="1"/>
    <col width="10" customWidth="1" min="2" max="2"/>
    <col width="12" customWidth="1" min="3" max="3"/>
    <col width="35" customWidth="1" min="4" max="4"/>
    <col width="8" customWidth="1" min="5" max="5"/>
    <col width="14" customWidth="1" min="6" max="6"/>
    <col width="11" customWidth="1" min="7" max="7"/>
    <col width="10" customWidth="1" min="8" max="8"/>
    <col width="10" customWidth="1" min="10" max="10"/>
    <col width="30" customWidth="1" min="11" max="11"/>
    <col width="35" customWidth="1" min="12" max="12"/>
  </cols>
  <sheetData>
    <row r="1" ht="30" customHeight="1">
      <c r="A1" s="5" t="inlineStr">
        <is>
          <t>Date</t>
        </is>
      </c>
      <c r="B1" s="5" t="inlineStr">
        <is>
          <t>Day</t>
        </is>
      </c>
      <c r="C1" s="5" t="inlineStr">
        <is>
          <t>Meal</t>
        </is>
      </c>
      <c r="D1" s="5" t="inlineStr">
        <is>
          <t>Recipe / Food</t>
        </is>
      </c>
      <c r="E1" s="5" t="inlineStr">
        <is>
          <t>Portion</t>
        </is>
      </c>
      <c r="F1" s="5" t="inlineStr">
        <is>
          <t>Calories (kcal)</t>
        </is>
      </c>
      <c r="G1" s="5" t="inlineStr">
        <is>
          <t>Protein (g)</t>
        </is>
      </c>
      <c r="H1" s="5" t="inlineStr">
        <is>
          <t>Carbs (g)</t>
        </is>
      </c>
      <c r="I1" s="5" t="inlineStr">
        <is>
          <t>Fat (g)</t>
        </is>
      </c>
      <c r="J1" s="5" t="inlineStr">
        <is>
          <t>Fibre (g)</t>
        </is>
      </c>
      <c r="K1" s="5" t="inlineStr">
        <is>
          <t>Notes</t>
        </is>
      </c>
      <c r="L1" s="5" t="inlineStr">
        <is>
          <t>Glucose Notes</t>
        </is>
      </c>
    </row>
    <row r="2" ht="15" customHeight="1">
      <c r="A2" s="6" t="n">
        <v>46076</v>
      </c>
      <c r="B2" s="7" t="inlineStr">
        <is>
          <t>Monday</t>
        </is>
      </c>
      <c r="C2" s="7" t="inlineStr">
        <is>
          <t>Breakfast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15" customHeight="1">
      <c r="A3" s="8" t="n">
        <v>46076</v>
      </c>
      <c r="B3" s="9" t="n"/>
      <c r="C3" s="9" t="inlineStr">
        <is>
          <t>Lunch</t>
        </is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</row>
    <row r="4" ht="15" customHeight="1">
      <c r="A4" s="8" t="n">
        <v>46076</v>
      </c>
      <c r="B4" s="9" t="n"/>
      <c r="C4" s="9" t="inlineStr">
        <is>
          <t>Dinner</t>
        </is>
      </c>
      <c r="D4" s="9" t="inlineStr">
        <is>
          <t>Pesto pasta with white beans &amp; halloumi</t>
        </is>
      </c>
      <c r="E4" s="9" t="n">
        <v>1</v>
      </c>
      <c r="F4" s="9" t="n">
        <v>685</v>
      </c>
      <c r="G4" s="9" t="n">
        <v>28</v>
      </c>
      <c r="H4" s="9" t="n">
        <v>72</v>
      </c>
      <c r="I4" s="9" t="n">
        <v>32</v>
      </c>
      <c r="J4" s="9" t="n">
        <v>8</v>
      </c>
      <c r="K4" s="10" t="inlineStr">
        <is>
          <t>Ottolenghi recipe from Notion DB</t>
        </is>
      </c>
      <c r="L4" s="11" t="inlineStr">
        <is>
          <t>Glucose spiked slightly over 7.8 mmol/L</t>
        </is>
      </c>
    </row>
    <row r="5" ht="15" customHeight="1">
      <c r="A5" s="8" t="n">
        <v>46076</v>
      </c>
      <c r="B5" s="9" t="n"/>
      <c r="C5" s="9" t="inlineStr">
        <is>
          <t>Snack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</row>
    <row r="6" ht="15" customHeight="1">
      <c r="A6" s="6" t="n">
        <v>46077</v>
      </c>
      <c r="B6" s="7" t="inlineStr">
        <is>
          <t>Tuesday</t>
        </is>
      </c>
      <c r="C6" s="7" t="inlineStr">
        <is>
          <t>Breakfast</t>
        </is>
      </c>
      <c r="D6" s="7" t="inlineStr">
        <is>
          <t>Pesto pasta with white beans &amp; halloumi</t>
        </is>
      </c>
      <c r="E6" s="7" t="n">
        <v>1</v>
      </c>
      <c r="F6" s="7" t="n">
        <v>685</v>
      </c>
      <c r="G6" s="7" t="n">
        <v>28</v>
      </c>
      <c r="H6" s="7" t="n">
        <v>72</v>
      </c>
      <c r="I6" s="7" t="n">
        <v>32</v>
      </c>
      <c r="J6" s="7" t="n">
        <v>8</v>
      </c>
      <c r="K6" s="12" t="inlineStr">
        <is>
          <t>Leftovers from last night</t>
        </is>
      </c>
      <c r="L6" s="13" t="inlineStr">
        <is>
          <t>Glucose spiked slightly over 7.8 mmol/L again</t>
        </is>
      </c>
    </row>
    <row r="7" ht="15" customHeight="1">
      <c r="A7" s="8" t="n">
        <v>46077</v>
      </c>
      <c r="B7" s="9" t="n"/>
      <c r="C7" s="9" t="inlineStr">
        <is>
          <t>Lunch</t>
        </is>
      </c>
      <c r="D7" s="9" t="inlineStr">
        <is>
          <t>Veggie chilli with silken tofu</t>
        </is>
      </c>
      <c r="E7" s="9" t="n">
        <v>1</v>
      </c>
      <c r="F7" s="9" t="n">
        <v>330</v>
      </c>
      <c r="G7" s="9" t="n">
        <v>19</v>
      </c>
      <c r="H7" s="9" t="n">
        <v>43</v>
      </c>
      <c r="I7" s="9" t="n">
        <v>9</v>
      </c>
      <c r="J7" s="9" t="n">
        <v>14</v>
      </c>
      <c r="K7" s="10" t="inlineStr">
        <is>
          <t>Veggie chilli from Notion DB + silken tofu</t>
        </is>
      </c>
      <c r="L7" s="9" t="n"/>
    </row>
    <row r="8" ht="15" customHeight="1">
      <c r="A8" s="8" t="n">
        <v>46077</v>
      </c>
      <c r="B8" s="9" t="n"/>
      <c r="C8" s="9" t="inlineStr">
        <is>
          <t>Dinner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15" customHeight="1">
      <c r="A9" s="8" t="n">
        <v>46077</v>
      </c>
      <c r="B9" s="9" t="n"/>
      <c r="C9" s="9" t="inlineStr">
        <is>
          <t>Snack</t>
        </is>
      </c>
      <c r="D9" s="9" t="inlineStr">
        <is>
          <t>Banana with peanut butter</t>
        </is>
      </c>
      <c r="E9" s="9" t="n">
        <v>1</v>
      </c>
      <c r="F9" s="9" t="n">
        <v>295</v>
      </c>
      <c r="G9" s="9" t="n">
        <v>9</v>
      </c>
      <c r="H9" s="9" t="n">
        <v>33</v>
      </c>
      <c r="I9" s="9" t="n">
        <v>16</v>
      </c>
      <c r="J9" s="9" t="n">
        <v>4</v>
      </c>
      <c r="K9" s="9" t="n"/>
      <c r="L9" s="9" t="n"/>
    </row>
    <row r="10" ht="15" customHeight="1">
      <c r="A10" s="6" t="n">
        <v>46078</v>
      </c>
      <c r="B10" s="7" t="inlineStr">
        <is>
          <t>Wednesday</t>
        </is>
      </c>
      <c r="C10" s="7" t="inlineStr">
        <is>
          <t>Breakfast</t>
        </is>
      </c>
      <c r="D10" s="7" t="inlineStr">
        <is>
          <t>Skipped — fasted for blood tests</t>
        </is>
      </c>
      <c r="E10" s="7" t="n"/>
      <c r="F10" s="7" t="n"/>
      <c r="G10" s="7" t="n"/>
      <c r="H10" s="7" t="n"/>
      <c r="I10" s="7" t="n"/>
      <c r="J10" s="7" t="n"/>
      <c r="K10" s="7" t="inlineStr">
        <is>
          <t>Fasted for 11am blood draw at E. Gulbja</t>
        </is>
      </c>
      <c r="L10" s="7" t="n"/>
    </row>
    <row r="11" ht="15" customHeight="1">
      <c r="A11" s="8" t="n">
        <v>46078</v>
      </c>
      <c r="B11" s="9" t="n"/>
      <c r="C11" s="9" t="inlineStr">
        <is>
          <t>Lunch</t>
        </is>
      </c>
      <c r="D11" s="9" t="inlineStr">
        <is>
          <t>Mac and cheese with chicken</t>
        </is>
      </c>
      <c r="E11" s="9" t="n">
        <v>1</v>
      </c>
      <c r="F11" s="9" t="n">
        <v>750</v>
      </c>
      <c r="G11" s="9" t="n">
        <v>40</v>
      </c>
      <c r="H11" s="9" t="n">
        <v>55</v>
      </c>
      <c r="I11" s="9" t="n">
        <v>35</v>
      </c>
      <c r="J11" s="9" t="n">
        <v>2</v>
      </c>
      <c r="K11" s="9" t="inlineStr">
        <is>
          <t>Not the healthiest — convenience meal after blood tests</t>
        </is>
      </c>
      <c r="L11" s="9" t="n"/>
    </row>
    <row r="12" ht="15" customHeight="1">
      <c r="A12" s="8" t="n">
        <v>46078</v>
      </c>
      <c r="B12" s="9" t="n"/>
      <c r="C12" s="9" t="inlineStr">
        <is>
          <t>Dinner</t>
        </is>
      </c>
      <c r="D12" s="9" t="inlineStr">
        <is>
          <t>Aubergine &amp; lentil stew with hummus, tahini &amp; pitta</t>
        </is>
      </c>
      <c r="E12" s="9" t="n">
        <v>1</v>
      </c>
      <c r="F12" s="9" t="n">
        <v>700</v>
      </c>
      <c r="G12" s="9" t="n">
        <v>20</v>
      </c>
      <c r="H12" s="9" t="n">
        <v>58</v>
      </c>
      <c r="I12" s="9" t="n">
        <v>38</v>
      </c>
      <c r="J12" s="9" t="n">
        <v>12</v>
      </c>
      <c r="K12" s="9" t="inlineStr">
        <is>
          <t>Homemade — roasted aubergine, Puy lentils, cherry tomatoes, spiced (cumin, garam masala, paprika), hummus, tahini, coriander, capers. Served with pitta.</t>
        </is>
      </c>
      <c r="L12" s="9" t="n"/>
    </row>
    <row r="13" ht="15" customHeight="1">
      <c r="A13" s="8" t="n">
        <v>46078</v>
      </c>
      <c r="B13" s="9" t="n"/>
      <c r="C13" s="9" t="inlineStr">
        <is>
          <t>Snack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" customHeight="1">
      <c r="A14" s="6" t="n">
        <v>46079</v>
      </c>
      <c r="B14" s="7" t="inlineStr">
        <is>
          <t>Thursday</t>
        </is>
      </c>
      <c r="C14" s="7" t="inlineStr">
        <is>
          <t>Breakfast</t>
        </is>
      </c>
      <c r="D14" s="7" t="inlineStr">
        <is>
          <t>Can't recall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15" customHeight="1">
      <c r="A15" s="8" t="n">
        <v>46079</v>
      </c>
      <c r="B15" s="9" t="n"/>
      <c r="C15" s="9" t="inlineStr">
        <is>
          <t>Lunch</t>
        </is>
      </c>
      <c r="D15" s="9" t="inlineStr">
        <is>
          <t>Can't recall</t>
        </is>
      </c>
      <c r="E15" s="9" t="n"/>
      <c r="F15" s="9" t="n"/>
      <c r="G15" s="9" t="n"/>
      <c r="H15" s="9" t="n"/>
      <c r="I15" s="9" t="n"/>
      <c r="J15" s="9" t="n"/>
      <c r="K15" s="9" t="n"/>
      <c r="L15" s="9" t="n"/>
    </row>
    <row r="16" ht="15" customHeight="1">
      <c r="A16" s="8" t="n">
        <v>46079</v>
      </c>
      <c r="B16" s="9" t="n"/>
      <c r="C16" s="9" t="inlineStr">
        <is>
          <t>Dinner</t>
        </is>
      </c>
      <c r="D16" s="9" t="inlineStr">
        <is>
          <t>Cauliflower &amp; sweet potato curry with rice</t>
        </is>
      </c>
      <c r="E16" s="9" t="n">
        <v>1</v>
      </c>
      <c r="F16" s="9" t="n"/>
      <c r="G16" s="9" t="n"/>
      <c r="H16" s="9" t="n"/>
      <c r="I16" s="9" t="n"/>
      <c r="J16" s="9" t="n"/>
      <c r="K16" s="9" t="inlineStr">
        <is>
          <t>From weekly meals plan</t>
        </is>
      </c>
      <c r="L16" s="9" t="n"/>
    </row>
    <row r="17" ht="15" customHeight="1">
      <c r="A17" s="8" t="n">
        <v>46079</v>
      </c>
      <c r="B17" s="9" t="n"/>
      <c r="C17" s="9" t="inlineStr">
        <is>
          <t>Snack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15" customHeight="1">
      <c r="A18" s="6" t="n">
        <v>46080</v>
      </c>
      <c r="B18" s="7" t="inlineStr">
        <is>
          <t>Friday</t>
        </is>
      </c>
      <c r="C18" s="7" t="inlineStr">
        <is>
          <t>Breakfast</t>
        </is>
      </c>
      <c r="D18" s="7" t="inlineStr">
        <is>
          <t>Can't recall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15" customHeight="1">
      <c r="A19" s="8" t="n">
        <v>46080</v>
      </c>
      <c r="B19" s="9" t="n"/>
      <c r="C19" s="9" t="inlineStr">
        <is>
          <t>Lunch</t>
        </is>
      </c>
      <c r="D19" s="9" t="inlineStr">
        <is>
          <t>Cauliflower &amp; sweet potato curry with rice (leftovers)</t>
        </is>
      </c>
      <c r="E19" s="9" t="n">
        <v>1</v>
      </c>
      <c r="F19" s="9" t="n"/>
      <c r="G19" s="9" t="n"/>
      <c r="H19" s="9" t="n"/>
      <c r="I19" s="9" t="n"/>
      <c r="J19" s="9" t="n"/>
      <c r="K19" s="9" t="inlineStr">
        <is>
          <t>Leftovers from Thursday dinner</t>
        </is>
      </c>
      <c r="L19" s="9" t="n"/>
    </row>
    <row r="20" ht="15" customHeight="1">
      <c r="A20" s="8" t="n">
        <v>46080</v>
      </c>
      <c r="B20" s="9" t="n"/>
      <c r="C20" s="9" t="inlineStr">
        <is>
          <t>Dinner</t>
        </is>
      </c>
      <c r="D20" s="9" t="inlineStr">
        <is>
          <t>Falafel + hummus + vegetarian tempura rolls + kombucha + non-alcoholic prosecco</t>
        </is>
      </c>
      <c r="E20" s="9" t="n">
        <v>1</v>
      </c>
      <c r="F20" s="9" t="n"/>
      <c r="G20" s="9" t="n"/>
      <c r="H20" s="9" t="n"/>
      <c r="I20" s="9" t="n"/>
      <c r="J20" s="9" t="n"/>
      <c r="K20" s="9" t="inlineStr">
        <is>
          <t>Homemade spread — Middle Eastern evening. Also had kombucha + non-alcoholic prosecco (rare sugary drinks)</t>
        </is>
      </c>
      <c r="L20" s="9" t="inlineStr">
        <is>
          <t>8.0 peak → 2.8 overnight crash. Sugary drinks likely amplified the spike from fried carbs</t>
        </is>
      </c>
    </row>
    <row r="21" ht="15" customHeight="1">
      <c r="A21" s="8" t="n">
        <v>46080</v>
      </c>
      <c r="B21" s="9" t="n"/>
      <c r="C21" s="9" t="inlineStr">
        <is>
          <t>Snack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15" customHeight="1">
      <c r="A22" s="6" t="n">
        <v>46081</v>
      </c>
      <c r="B22" s="7" t="inlineStr">
        <is>
          <t>Saturday</t>
        </is>
      </c>
      <c r="C22" s="7" t="inlineStr">
        <is>
          <t>Breakfast</t>
        </is>
      </c>
      <c r="D22" s="7" t="inlineStr">
        <is>
          <t>Can't recall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15" customHeight="1">
      <c r="A23" s="8" t="n">
        <v>46081</v>
      </c>
      <c r="B23" s="9" t="n"/>
      <c r="C23" s="9" t="inlineStr">
        <is>
          <t>Lunch</t>
        </is>
      </c>
      <c r="D23" s="9" t="inlineStr">
        <is>
          <t>Air-fried falafel + kibbe with hummus</t>
        </is>
      </c>
      <c r="E23" s="9" t="n">
        <v>1</v>
      </c>
      <c r="F23" s="9" t="n"/>
      <c r="G23" s="9" t="n"/>
      <c r="H23" s="9" t="n"/>
      <c r="I23" s="9" t="n"/>
      <c r="J23" s="9" t="n"/>
      <c r="K23" s="9" t="inlineStr">
        <is>
          <t>Leftover falafel &amp; kibbe from Friday, air-fried at home</t>
        </is>
      </c>
      <c r="L23" s="9" t="inlineStr">
        <is>
          <t>7.4 peak, spike-dip-spike pattern, no crash</t>
        </is>
      </c>
    </row>
    <row r="24" ht="15" customHeight="1">
      <c r="A24" s="8" t="n">
        <v>46081</v>
      </c>
      <c r="B24" s="9" t="n"/>
      <c r="C24" s="9" t="inlineStr">
        <is>
          <t>Dinner</t>
        </is>
      </c>
      <c r="D24" s="9" t="inlineStr">
        <is>
          <t>Tofu mince with gochujang and rice</t>
        </is>
      </c>
      <c r="E24" s="9" t="n">
        <v>1</v>
      </c>
      <c r="F24" s="9" t="n"/>
      <c r="G24" s="9" t="n"/>
      <c r="H24" s="9" t="n"/>
      <c r="I24" s="9" t="n"/>
      <c r="J24" s="9" t="n"/>
      <c r="K24" s="9" t="inlineStr">
        <is>
          <t>From weekly meals plan — Korean-style tofu mince</t>
        </is>
      </c>
      <c r="L24" s="9" t="n"/>
    </row>
    <row r="25" ht="15" customHeight="1">
      <c r="A25" s="8" t="n">
        <v>46081</v>
      </c>
      <c r="B25" s="9" t="n"/>
      <c r="C25" s="9" t="inlineStr">
        <is>
          <t>Snack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" customHeight="1">
      <c r="A26" s="6" t="n">
        <v>46082</v>
      </c>
      <c r="B26" s="7" t="inlineStr">
        <is>
          <t>Sunday</t>
        </is>
      </c>
      <c r="C26" s="7" t="inlineStr">
        <is>
          <t>Breakfast</t>
        </is>
      </c>
      <c r="D26" s="7" t="inlineStr">
        <is>
          <t>Homemade hummus + leftover falafel/kibbe</t>
        </is>
      </c>
      <c r="E26" s="7" t="n">
        <v>1</v>
      </c>
      <c r="F26" s="7" t="n"/>
      <c r="G26" s="7" t="n"/>
      <c r="H26" s="7" t="n"/>
      <c r="I26" s="7" t="n"/>
      <c r="J26" s="7" t="n"/>
      <c r="K26" s="7" t="inlineStr">
        <is>
          <t>Big portion of hummus, with Friday leftovers</t>
        </is>
      </c>
      <c r="L26" s="7" t="n"/>
    </row>
    <row r="27" ht="15" customHeight="1">
      <c r="A27" s="8" t="n">
        <v>46082</v>
      </c>
      <c r="B27" s="9" t="n"/>
      <c r="C27" s="9" t="inlineStr">
        <is>
          <t>Lunch</t>
        </is>
      </c>
      <c r="D27" s="9" t="inlineStr">
        <is>
          <t>Tofu mince with gochujang and rice</t>
        </is>
      </c>
      <c r="E27" s="9" t="n">
        <v>1</v>
      </c>
      <c r="F27" s="9" t="n"/>
      <c r="G27" s="9" t="n"/>
      <c r="H27" s="9" t="n"/>
      <c r="I27" s="9" t="n"/>
      <c r="J27" s="9" t="n"/>
      <c r="K27" s="9" t="inlineStr">
        <is>
          <t>Same dish as Saturday evening, from weekly meals</t>
        </is>
      </c>
      <c r="L27" s="9" t="n"/>
    </row>
    <row r="28" ht="15" customHeight="1">
      <c r="A28" s="8" t="n">
        <v>46082</v>
      </c>
      <c r="B28" s="9" t="n"/>
      <c r="C28" s="9" t="inlineStr">
        <is>
          <t>Dinner</t>
        </is>
      </c>
      <c r="D28" s="9" t="inlineStr">
        <is>
          <t>Mushroom pasta (small) + pelmeņi + beer</t>
        </is>
      </c>
      <c r="E28" s="9" t="n">
        <v>1</v>
      </c>
      <c r="F28" s="9" t="n"/>
      <c r="G28" s="9" t="n"/>
      <c r="H28" s="9" t="n"/>
      <c r="I28" s="9" t="n"/>
      <c r="J28" s="9" t="n"/>
      <c r="K28" s="9" t="inlineStr">
        <is>
          <t>Small pasta portion + Latvian dumplings &amp; beer at sauna</t>
        </is>
      </c>
      <c r="L28" s="9" t="n"/>
    </row>
    <row r="29" ht="15" customHeight="1">
      <c r="A29" s="8" t="n">
        <v>46082</v>
      </c>
      <c r="B29" s="9" t="n"/>
      <c r="C29" s="9" t="inlineStr">
        <is>
          <t>Snack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15" customHeight="1">
      <c r="A30" s="6" t="n">
        <v>46083</v>
      </c>
      <c r="B30" s="7" t="inlineStr">
        <is>
          <t>Monday</t>
        </is>
      </c>
      <c r="C30" s="7" t="inlineStr">
        <is>
          <t>Breakfast</t>
        </is>
      </c>
      <c r="D30" s="7" t="inlineStr">
        <is>
          <t>Poke bowl</t>
        </is>
      </c>
      <c r="E30" s="7" t="n">
        <v>1</v>
      </c>
      <c r="F30" s="7" t="n"/>
      <c r="G30" s="7" t="n"/>
      <c r="H30" s="7" t="n"/>
      <c r="I30" s="7" t="n"/>
      <c r="J30" s="7" t="n"/>
      <c r="K30" s="7" t="inlineStr">
        <is>
          <t>From weekly meals plan</t>
        </is>
      </c>
      <c r="L30" s="7" t="n"/>
    </row>
    <row r="31" ht="15" customHeight="1">
      <c r="A31" s="8" t="n">
        <v>46083</v>
      </c>
      <c r="B31" s="9" t="n"/>
      <c r="C31" s="9" t="inlineStr">
        <is>
          <t>Lunch</t>
        </is>
      </c>
      <c r="D31" s="9" t="inlineStr">
        <is>
          <t>Mushroom pasta</t>
        </is>
      </c>
      <c r="E31" s="9" t="n">
        <v>1</v>
      </c>
      <c r="F31" s="9" t="n"/>
      <c r="G31" s="9" t="n"/>
      <c r="H31" s="9" t="n"/>
      <c r="I31" s="9" t="n"/>
      <c r="J31" s="9" t="n"/>
      <c r="K31" s="9" t="inlineStr">
        <is>
          <t>Boiled pasta + mushroom garlic sauce (no recipe)</t>
        </is>
      </c>
      <c r="L31" s="9" t="n"/>
    </row>
    <row r="32" ht="15" customHeight="1">
      <c r="A32" s="8" t="n">
        <v>46083</v>
      </c>
      <c r="B32" s="9" t="n"/>
      <c r="C32" s="9" t="inlineStr">
        <is>
          <t>Dinner</t>
        </is>
      </c>
      <c r="D32" s="9" t="inlineStr">
        <is>
          <t>Homemade pizza + carrots + slice of cheesecake</t>
        </is>
      </c>
      <c r="E32" s="9" t="n">
        <v>1</v>
      </c>
      <c r="F32" s="9" t="n"/>
      <c r="G32" s="9" t="n"/>
      <c r="H32" s="9" t="n"/>
      <c r="I32" s="9" t="n"/>
      <c r="J32" s="9" t="n"/>
      <c r="K32" s="9" t="inlineStr">
        <is>
          <t>Birthday party at friend's house</t>
        </is>
      </c>
      <c r="L32" s="9" t="n"/>
    </row>
    <row r="33" ht="15" customHeight="1">
      <c r="A33" s="8" t="n">
        <v>46083</v>
      </c>
      <c r="B33" s="9" t="n"/>
      <c r="C33" s="9" t="inlineStr">
        <is>
          <t>Snack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15" customHeight="1">
      <c r="A34" s="6" t="n">
        <v>46084</v>
      </c>
      <c r="B34" s="7" t="inlineStr">
        <is>
          <t>Tuesday</t>
        </is>
      </c>
      <c r="C34" s="7" t="inlineStr">
        <is>
          <t>Breakfast</t>
        </is>
      </c>
      <c r="D34" s="7" t="inlineStr">
        <is>
          <t>Mushroom pasta (smaller portion)</t>
        </is>
      </c>
      <c r="E34" s="7" t="n">
        <v>1</v>
      </c>
      <c r="F34" s="7" t="n"/>
      <c r="G34" s="7" t="n"/>
      <c r="H34" s="7" t="n"/>
      <c r="I34" s="7" t="n"/>
      <c r="J34" s="7" t="n"/>
      <c r="K34" s="7" t="inlineStr">
        <is>
          <t>Smaller serving than yesterday. Cycled to appointment after eating</t>
        </is>
      </c>
      <c r="L34" s="7" t="inlineStr">
        <is>
          <t>Pasta for breakfast. 8.4 spike at 15:41 likely from afternoon cheesecake snack (see snack row). Day avg 5.3</t>
        </is>
      </c>
    </row>
    <row r="35" ht="15" customHeight="1">
      <c r="A35" s="8" t="n">
        <v>46084</v>
      </c>
      <c r="B35" s="9" t="n"/>
      <c r="C35" s="9" t="inlineStr">
        <is>
          <t>Lunch</t>
        </is>
      </c>
      <c r="D35" s="9" t="inlineStr">
        <is>
          <t>Poke bowl</t>
        </is>
      </c>
      <c r="E35" s="9" t="n">
        <v>1</v>
      </c>
      <c r="F35" s="9" t="n"/>
      <c r="G35" s="9" t="n"/>
      <c r="H35" s="9" t="n"/>
      <c r="I35" s="9" t="n"/>
      <c r="J35" s="9" t="n"/>
      <c r="K35" s="9" t="n"/>
      <c r="L35" s="9" t="inlineStr">
        <is>
          <t>Pokebowl — stable glucose as expected</t>
        </is>
      </c>
    </row>
    <row r="36" ht="15" customHeight="1">
      <c r="A36" s="8" t="n">
        <v>46084</v>
      </c>
      <c r="B36" s="9" t="n"/>
      <c r="C36" s="9" t="inlineStr">
        <is>
          <t>Dinner</t>
        </is>
      </c>
      <c r="D36" s="9" t="inlineStr">
        <is>
          <t>Poke bowl</t>
        </is>
      </c>
      <c r="E36" s="9" t="n">
        <v>1</v>
      </c>
      <c r="F36" s="9" t="n"/>
      <c r="G36" s="9" t="n"/>
      <c r="H36" s="9" t="n"/>
      <c r="I36" s="9" t="n"/>
      <c r="J36" s="9" t="n"/>
      <c r="K36" s="9" t="inlineStr">
        <is>
          <t>Second pokebowl of the day</t>
        </is>
      </c>
      <c r="L36" s="9" t="inlineStr">
        <is>
          <t>7.6 spike at 23:16 → 3.7 crash at 23:41. Late football (finished ~11pm) — always wrecks sleep and upsets digestion. Sleep score 74 (worst of week). The glucose crash may be exercise-induced rather than food-related</t>
        </is>
      </c>
    </row>
    <row r="37" ht="15" customHeight="1">
      <c r="A37" s="8" t="n">
        <v>46084</v>
      </c>
      <c r="B37" s="9" t="n"/>
      <c r="C37" s="9" t="inlineStr">
        <is>
          <t>Snack</t>
        </is>
      </c>
      <c r="D37" s="9" t="inlineStr">
        <is>
          <t>Peach cheesecake (1 slice)</t>
        </is>
      </c>
      <c r="E37" s="9" t="n">
        <v>1</v>
      </c>
      <c r="F37" s="9" t="n"/>
      <c r="G37" s="9" t="n"/>
      <c r="H37" s="9" t="n"/>
      <c r="I37" s="9" t="n"/>
      <c r="J37" s="9" t="n"/>
      <c r="K37" s="9" t="inlineStr">
        <is>
          <t>Leftover from Monday birthday party. Afternoon snack ~3pm</t>
        </is>
      </c>
      <c r="L37" s="9" t="inlineStr">
        <is>
          <t>Likely cause of 8.4 mmol/L spike at 15:41 — highest of the day</t>
        </is>
      </c>
    </row>
    <row r="38" ht="15" customHeight="1">
      <c r="A38" s="6" t="n">
        <v>46085</v>
      </c>
      <c r="B38" s="7" t="inlineStr">
        <is>
          <t>Wednesday</t>
        </is>
      </c>
      <c r="C38" s="7" t="inlineStr">
        <is>
          <t>Breakfast</t>
        </is>
      </c>
      <c r="D38" s="7" t="inlineStr">
        <is>
          <t>Nachos</t>
        </is>
      </c>
      <c r="E38" s="7" t="n">
        <v>1</v>
      </c>
      <c r="F38" s="7" t="n"/>
      <c r="G38" s="7" t="n"/>
      <c r="H38" s="7" t="n"/>
      <c r="I38" s="7" t="n"/>
      <c r="J38" s="7" t="n"/>
      <c r="K38" s="7" t="inlineStr">
        <is>
          <t>Not ideal breakfast choice</t>
        </is>
      </c>
      <c r="L38" s="7" t="inlineStr">
        <is>
          <t>Morning lows 3.4-3.8 from 09:41-14:01 — reactive pattern from high-carb breakfast. Day avg 4.9. Woke from bad Tuesday night sleep (score 74)</t>
        </is>
      </c>
    </row>
    <row r="39" ht="15" customHeight="1">
      <c r="A39" s="8" t="n">
        <v>46085</v>
      </c>
      <c r="B39" s="9" t="n"/>
      <c r="C39" s="9" t="inlineStr">
        <is>
          <t>Lunch</t>
        </is>
      </c>
      <c r="D39" s="9" t="inlineStr">
        <is>
          <t>Noodles and chicken</t>
        </is>
      </c>
      <c r="E39" s="9" t="n">
        <v>1</v>
      </c>
      <c r="F39" s="9" t="n"/>
      <c r="G39" s="9" t="n"/>
      <c r="H39" s="9" t="n"/>
      <c r="I39" s="9" t="n"/>
      <c r="J39" s="9" t="n"/>
      <c r="K39" s="9" t="n"/>
      <c r="L39" s="9" t="n"/>
    </row>
    <row r="40" ht="15" customHeight="1">
      <c r="A40" s="8" t="n">
        <v>46085</v>
      </c>
      <c r="B40" s="9" t="n"/>
      <c r="C40" s="9" t="inlineStr">
        <is>
          <t>Dinner</t>
        </is>
      </c>
      <c r="D40" s="9" t="inlineStr">
        <is>
          <t>Black bean soup</t>
        </is>
      </c>
      <c r="E40" s="9" t="n">
        <v>1</v>
      </c>
      <c r="F40" s="9" t="n"/>
      <c r="G40" s="9" t="n"/>
      <c r="H40" s="9" t="n"/>
      <c r="I40" s="9" t="n"/>
      <c r="J40" s="9" t="n"/>
      <c r="K40" s="9" t="n"/>
      <c r="L40" s="9" t="inlineStr">
        <is>
          <t>8.6 mmol/L spike at 23:16 — highest of the day. But Wednesday night sleep was good (87) — spike may have recovered cleanly without a reactive crash</t>
        </is>
      </c>
    </row>
    <row r="41" ht="15" customHeight="1">
      <c r="A41" s="8" t="n">
        <v>46085</v>
      </c>
      <c r="B41" s="9" t="n"/>
      <c r="C41" s="9" t="inlineStr">
        <is>
          <t>Snack</t>
        </is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15" customHeight="1">
      <c r="A42" s="6" t="n">
        <v>46086</v>
      </c>
      <c r="B42" s="7" t="inlineStr">
        <is>
          <t>Thursday</t>
        </is>
      </c>
      <c r="C42" s="7" t="inlineStr">
        <is>
          <t>Breakfast</t>
        </is>
      </c>
      <c r="D42" s="7" t="inlineStr">
        <is>
          <t>Huel + banana smoothie</t>
        </is>
      </c>
      <c r="E42" s="7" t="n">
        <v>1</v>
      </c>
      <c r="F42" s="7" t="n"/>
      <c r="G42" s="7" t="n"/>
      <c r="H42" s="7" t="n"/>
      <c r="I42" s="7" t="n"/>
      <c r="J42" s="7" t="n"/>
      <c r="K42" s="7" t="inlineStr">
        <is>
          <t>Huel meal replacement blended with banana</t>
        </is>
      </c>
      <c r="L42" s="7" t="inlineStr">
        <is>
          <t>Morning lows 3.5-3.7 from 04:06-10:01 (carryover from Wed evening). Day avg 5.0</t>
        </is>
      </c>
    </row>
    <row r="43" ht="15" customHeight="1">
      <c r="A43" s="8" t="n">
        <v>46086</v>
      </c>
      <c r="B43" s="9" t="n"/>
      <c r="C43" s="9" t="inlineStr">
        <is>
          <t>Lunch</t>
        </is>
      </c>
      <c r="D43" s="9" t="inlineStr">
        <is>
          <t>Thai green curry (Huel)</t>
        </is>
      </c>
      <c r="E43" s="9" t="n">
        <v>1</v>
      </c>
      <c r="F43" s="9" t="n"/>
      <c r="G43" s="9" t="n"/>
      <c r="H43" s="9" t="n"/>
      <c r="I43" s="9" t="n"/>
      <c r="J43" s="9" t="n"/>
      <c r="K43" s="9" t="inlineStr">
        <is>
          <t>Huel hot &amp; savoury meal</t>
        </is>
      </c>
      <c r="L43" s="9" t="inlineStr">
        <is>
          <t>Moderate spikes to 7.6 around 12:56-14:06 — decent for a curry-style meal</t>
        </is>
      </c>
    </row>
    <row r="44" ht="15" customHeight="1">
      <c r="A44" s="8" t="n">
        <v>46086</v>
      </c>
      <c r="B44" s="9" t="n"/>
      <c r="C44" s="9" t="inlineStr">
        <is>
          <t>Dinner</t>
        </is>
      </c>
      <c r="D44" s="9" t="inlineStr">
        <is>
          <t>Greens soup + silken tofu and rice</t>
        </is>
      </c>
      <c r="E44" s="9" t="n">
        <v>1</v>
      </c>
      <c r="F44" s="9" t="n"/>
      <c r="G44" s="9" t="n"/>
      <c r="H44" s="9" t="n"/>
      <c r="I44" s="9" t="n"/>
      <c r="J44" s="9" t="n"/>
      <c r="K44" s="9" t="inlineStr">
        <is>
          <t>Small bowl</t>
        </is>
      </c>
      <c r="L44" s="9" t="n"/>
    </row>
    <row r="45" ht="15" customHeight="1">
      <c r="A45" s="8" t="n">
        <v>46086</v>
      </c>
      <c r="B45" s="9" t="n"/>
      <c r="C45" s="9" t="inlineStr">
        <is>
          <t>Snack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15" customHeight="1">
      <c r="A46" s="6" t="n">
        <v>46087</v>
      </c>
      <c r="B46" s="7" t="inlineStr">
        <is>
          <t>Friday</t>
        </is>
      </c>
      <c r="C46" s="7" t="inlineStr">
        <is>
          <t>Breakfast</t>
        </is>
      </c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15" customHeight="1">
      <c r="A47" s="8" t="n">
        <v>46087</v>
      </c>
      <c r="B47" s="9" t="n"/>
      <c r="C47" s="9" t="inlineStr">
        <is>
          <t>Lunch</t>
        </is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15" customHeight="1">
      <c r="A48" s="8" t="n">
        <v>46087</v>
      </c>
      <c r="B48" s="9" t="n"/>
      <c r="C48" s="9" t="inlineStr">
        <is>
          <t>Dinner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 ht="15" customHeight="1">
      <c r="A49" s="8" t="n">
        <v>46087</v>
      </c>
      <c r="B49" s="9" t="n"/>
      <c r="C49" s="9" t="inlineStr">
        <is>
          <t>Snack</t>
        </is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 ht="15" customHeight="1">
      <c r="A50" s="6" t="n">
        <v>46088</v>
      </c>
      <c r="B50" s="7" t="inlineStr">
        <is>
          <t>Saturday</t>
        </is>
      </c>
      <c r="C50" s="7" t="inlineStr">
        <is>
          <t>Breakfast</t>
        </is>
      </c>
      <c r="D50" s="7" t="n"/>
      <c r="E50" s="7" t="n"/>
      <c r="F50" s="7" t="n"/>
      <c r="G50" s="7" t="n"/>
      <c r="H50" s="7" t="n"/>
      <c r="I50" s="7" t="n"/>
      <c r="J50" s="7" t="n"/>
      <c r="K50" s="7" t="inlineStr">
        <is>
          <t>Snowboarding holiday in Tyrol — high activity all week</t>
        </is>
      </c>
      <c r="L50" s="7" t="inlineStr">
        <is>
          <t>Avg 6.2, peak 9.7 at 18:35 (filled pasta dinner). Multiple spike windows through afternoon/evening.</t>
        </is>
      </c>
    </row>
    <row r="51" ht="15" customHeight="1">
      <c r="A51" s="8" t="n">
        <v>46088</v>
      </c>
      <c r="B51" s="9" t="n"/>
      <c r="C51" s="9" t="inlineStr">
        <is>
          <t>Lunch</t>
        </is>
      </c>
      <c r="D51" s="9" t="inlineStr">
        <is>
          <t>Narvesen chicken pesto sandwich</t>
        </is>
      </c>
      <c r="E51" s="9" t="n">
        <v>1</v>
      </c>
      <c r="F51" s="9" t="n"/>
      <c r="G51" s="9" t="n"/>
      <c r="H51" s="9" t="n"/>
      <c r="I51" s="9" t="n"/>
      <c r="J51" s="9" t="n"/>
      <c r="K51" s="9" t="inlineStr">
        <is>
          <t>Grabbed from Narvesen</t>
        </is>
      </c>
      <c r="L51" s="9" t="n"/>
    </row>
    <row r="52" ht="15" customHeight="1">
      <c r="A52" s="8" t="n">
        <v>46088</v>
      </c>
      <c r="B52" s="9" t="n"/>
      <c r="C52" s="9" t="inlineStr">
        <is>
          <t>Dinner</t>
        </is>
      </c>
      <c r="D52" s="9" t="inlineStr">
        <is>
          <t>Filled pasta</t>
        </is>
      </c>
      <c r="E52" s="9" t="n">
        <v>1</v>
      </c>
      <c r="F52" s="9" t="n"/>
      <c r="G52" s="9" t="n"/>
      <c r="H52" s="9" t="n"/>
      <c r="I52" s="9" t="n"/>
      <c r="J52" s="9" t="n"/>
      <c r="K52" s="9" t="inlineStr">
        <is>
          <t>Evening meal — skiing all day</t>
        </is>
      </c>
      <c r="L52" s="9" t="n"/>
    </row>
    <row r="53" ht="15" customHeight="1">
      <c r="A53" s="8" t="n">
        <v>46088</v>
      </c>
      <c r="B53" s="9" t="n"/>
      <c r="C53" s="9" t="inlineStr">
        <is>
          <t>Snack</t>
        </is>
      </c>
      <c r="D53" s="9" t="inlineStr">
        <is>
          <t>Chicken sandwich from Spa</t>
        </is>
      </c>
      <c r="E53" s="9" t="n">
        <v>1</v>
      </c>
      <c r="F53" s="9" t="n"/>
      <c r="G53" s="9" t="n"/>
      <c r="H53" s="9" t="n"/>
      <c r="I53" s="9" t="n"/>
      <c r="J53" s="9" t="n"/>
      <c r="K53" s="9" t="inlineStr">
        <is>
          <t>Convenience store sandwich</t>
        </is>
      </c>
      <c r="L53" s="9" t="n"/>
    </row>
    <row r="54" ht="15" customHeight="1">
      <c r="A54" s="6" t="n">
        <v>46089</v>
      </c>
      <c r="B54" s="7" t="inlineStr">
        <is>
          <t>Sunday</t>
        </is>
      </c>
      <c r="C54" s="7" t="inlineStr">
        <is>
          <t>Breakfast</t>
        </is>
      </c>
      <c r="D54" s="7" t="inlineStr">
        <is>
          <t>Yoghurt, granola &amp; banana</t>
        </is>
      </c>
      <c r="E54" s="7" t="n">
        <v>1</v>
      </c>
      <c r="F54" s="7" t="n"/>
      <c r="G54" s="7" t="n"/>
      <c r="H54" s="7" t="n"/>
      <c r="I54" s="7" t="n"/>
      <c r="J54" s="7" t="n"/>
      <c r="K54" s="7" t="inlineStr">
        <is>
          <t>Recurring breakfast</t>
        </is>
      </c>
      <c r="L54" s="7" t="inlineStr">
        <is>
          <t>Avg 5.9, peak 8.9. Minor spikes only.</t>
        </is>
      </c>
    </row>
    <row r="55" ht="15" customHeight="1">
      <c r="A55" s="8" t="n">
        <v>46089</v>
      </c>
      <c r="B55" s="9" t="n"/>
      <c r="C55" s="9" t="inlineStr">
        <is>
          <t>Lunch</t>
        </is>
      </c>
      <c r="D55" s="9" t="inlineStr">
        <is>
          <t>Calzone (large)</t>
        </is>
      </c>
      <c r="E55" s="9" t="n">
        <v>1</v>
      </c>
      <c r="F55" s="9" t="n"/>
      <c r="G55" s="9" t="n"/>
      <c r="H55" s="9" t="n"/>
      <c r="I55" s="9" t="n"/>
      <c r="J55" s="9" t="n"/>
      <c r="K55" s="9" t="inlineStr">
        <is>
          <t>Big portion</t>
        </is>
      </c>
      <c r="L55" s="9" t="n"/>
    </row>
    <row r="56" ht="15" customHeight="1">
      <c r="A56" s="8" t="n">
        <v>46089</v>
      </c>
      <c r="B56" s="9" t="n"/>
      <c r="C56" s="9" t="inlineStr">
        <is>
          <t>Dinner</t>
        </is>
      </c>
      <c r="D56" s="9" t="inlineStr">
        <is>
          <t>Peanut satay chicken with rice</t>
        </is>
      </c>
      <c r="E56" s="9" t="n">
        <v>1</v>
      </c>
      <c r="F56" s="9" t="n"/>
      <c r="G56" s="9" t="n"/>
      <c r="H56" s="9" t="n"/>
      <c r="I56" s="9" t="n"/>
      <c r="J56" s="9" t="n"/>
      <c r="K56" s="9" t="n"/>
      <c r="L56" s="9" t="n"/>
    </row>
    <row r="57" ht="15" customHeight="1">
      <c r="A57" s="8" t="n">
        <v>46089</v>
      </c>
      <c r="B57" s="9" t="n"/>
      <c r="C57" s="9" t="inlineStr">
        <is>
          <t>Snack</t>
        </is>
      </c>
      <c r="D57" s="9" t="inlineStr">
        <is>
          <t>2x Weissbier</t>
        </is>
      </c>
      <c r="E57" s="9" t="n"/>
      <c r="F57" s="9" t="n"/>
      <c r="G57" s="9" t="n"/>
      <c r="H57" s="9" t="n"/>
      <c r="I57" s="9" t="n"/>
      <c r="J57" s="9" t="n"/>
      <c r="K57" s="9" t="inlineStr">
        <is>
          <t>~500 kcal from beer</t>
        </is>
      </c>
      <c r="L57" s="9" t="n"/>
    </row>
    <row r="58" ht="15" customHeight="1">
      <c r="A58" s="6" t="n">
        <v>46090</v>
      </c>
      <c r="B58" s="7" t="inlineStr">
        <is>
          <t>Monday</t>
        </is>
      </c>
      <c r="C58" s="7" t="inlineStr">
        <is>
          <t>Breakfast</t>
        </is>
      </c>
      <c r="D58" s="7" t="inlineStr">
        <is>
          <t>Yoghurt, granola &amp; banana</t>
        </is>
      </c>
      <c r="E58" s="7" t="n">
        <v>1</v>
      </c>
      <c r="F58" s="7" t="n"/>
      <c r="G58" s="7" t="n"/>
      <c r="H58" s="7" t="n"/>
      <c r="I58" s="7" t="n"/>
      <c r="J58" s="7" t="n"/>
      <c r="K58" s="7" t="inlineStr">
        <is>
          <t>Recurring breakfast</t>
        </is>
      </c>
      <c r="L58" s="7" t="inlineStr">
        <is>
          <t>Avg 5.5, peak 9.3 at 11:40. Relatively clean day.</t>
        </is>
      </c>
    </row>
    <row r="59" ht="15" customHeight="1">
      <c r="A59" s="8" t="n">
        <v>46090</v>
      </c>
      <c r="B59" s="9" t="n"/>
      <c r="C59" s="9" t="inlineStr">
        <is>
          <t>Lunch</t>
        </is>
      </c>
      <c r="D59" s="9" t="inlineStr">
        <is>
          <t>Tyrolean spinach dumplings</t>
        </is>
      </c>
      <c r="E59" s="9" t="n">
        <v>1</v>
      </c>
      <c r="F59" s="9" t="n"/>
      <c r="G59" s="9" t="n"/>
      <c r="H59" s="9" t="n"/>
      <c r="I59" s="9" t="n"/>
      <c r="J59" s="9" t="n"/>
      <c r="K59" s="9" t="inlineStr">
        <is>
          <t>Local Tyrolean dish. Skiing all day.</t>
        </is>
      </c>
      <c r="L59" s="9" t="n"/>
    </row>
    <row r="60" ht="15" customHeight="1">
      <c r="A60" s="8" t="n">
        <v>46090</v>
      </c>
      <c r="B60" s="9" t="n"/>
      <c r="C60" s="9" t="inlineStr">
        <is>
          <t>Dinner</t>
        </is>
      </c>
      <c r="D60" s="9" t="inlineStr">
        <is>
          <t>Tofu sushi rice bowl</t>
        </is>
      </c>
      <c r="E60" s="9" t="n">
        <v>1</v>
      </c>
      <c r="F60" s="9" t="n"/>
      <c r="G60" s="9" t="n"/>
      <c r="H60" s="9" t="n"/>
      <c r="I60" s="9" t="n"/>
      <c r="J60" s="9" t="n"/>
      <c r="K60" s="9" t="inlineStr">
        <is>
          <t>Homemade</t>
        </is>
      </c>
      <c r="L60" s="9" t="n"/>
    </row>
    <row r="61" ht="15" customHeight="1">
      <c r="A61" s="8" t="n">
        <v>46090</v>
      </c>
      <c r="B61" s="9" t="n"/>
      <c r="C61" s="9" t="inlineStr">
        <is>
          <t>Snack</t>
        </is>
      </c>
      <c r="D61" s="9" t="inlineStr">
        <is>
          <t>2x lager</t>
        </is>
      </c>
      <c r="E61" s="9" t="n"/>
      <c r="F61" s="9" t="n"/>
      <c r="G61" s="9" t="n"/>
      <c r="H61" s="9" t="n"/>
      <c r="I61" s="9" t="n"/>
      <c r="J61" s="9" t="n"/>
      <c r="K61" s="9" t="inlineStr">
        <is>
          <t>~400 kcal from beer</t>
        </is>
      </c>
      <c r="L61" s="9" t="n"/>
    </row>
    <row r="62" ht="15" customHeight="1">
      <c r="A62" s="6" t="n">
        <v>46091</v>
      </c>
      <c r="B62" s="7" t="inlineStr">
        <is>
          <t>Tuesday</t>
        </is>
      </c>
      <c r="C62" s="7" t="inlineStr">
        <is>
          <t>Breakfast</t>
        </is>
      </c>
      <c r="D62" s="7" t="inlineStr">
        <is>
          <t>Small orzo pot</t>
        </is>
      </c>
      <c r="E62" s="7" t="n">
        <v>1</v>
      </c>
      <c r="F62" s="7" t="n"/>
      <c r="G62" s="7" t="n"/>
      <c r="H62" s="7" t="n"/>
      <c r="I62" s="7" t="n"/>
      <c r="J62" s="7" t="n"/>
      <c r="K62" s="7" t="inlineStr">
        <is>
          <t>Lighter breakfast. Skiing day.</t>
        </is>
      </c>
      <c r="L62" s="7" t="n"/>
    </row>
    <row r="63" ht="15" customHeight="1">
      <c r="A63" s="8" t="n">
        <v>46091</v>
      </c>
      <c r="B63" s="9" t="n"/>
      <c r="C63" s="9" t="inlineStr">
        <is>
          <t>Lunch</t>
        </is>
      </c>
      <c r="D63" s="9" t="inlineStr">
        <is>
          <t>Tyrolean dumpling &amp; Kaiserspätzle</t>
        </is>
      </c>
      <c r="E63" s="9" t="n">
        <v>1</v>
      </c>
      <c r="F63" s="9" t="n"/>
      <c r="G63" s="9" t="n"/>
      <c r="H63" s="9" t="n"/>
      <c r="I63" s="9" t="n"/>
      <c r="J63" s="9" t="n"/>
      <c r="K63" s="9" t="inlineStr">
        <is>
          <t>Local Tyrolean dish — heavy carbs</t>
        </is>
      </c>
      <c r="L63" s="9" t="inlineStr">
        <is>
          <t>Spike to 11.6 mmol/L at 17:36 — biggest of the week. Likely carb-heavy lunch + beer combo</t>
        </is>
      </c>
    </row>
    <row r="64" ht="15" customHeight="1">
      <c r="A64" s="8" t="n">
        <v>46091</v>
      </c>
      <c r="B64" s="9" t="n"/>
      <c r="C64" s="9" t="inlineStr">
        <is>
          <t>Dinner</t>
        </is>
      </c>
      <c r="D64" s="9" t="inlineStr">
        <is>
          <t>Leftover tofu sushi rice bowl</t>
        </is>
      </c>
      <c r="E64" s="9" t="n">
        <v>0.5</v>
      </c>
      <c r="F64" s="9" t="n"/>
      <c r="G64" s="9" t="n"/>
      <c r="H64" s="9" t="n"/>
      <c r="I64" s="9" t="n"/>
      <c r="J64" s="9" t="n"/>
      <c r="K64" s="9" t="inlineStr">
        <is>
          <t>Partial portion, leftovers from Monday</t>
        </is>
      </c>
      <c r="L64" s="9" t="n"/>
    </row>
    <row r="65" ht="15" customHeight="1">
      <c r="A65" s="8" t="n">
        <v>46091</v>
      </c>
      <c r="B65" s="9" t="n"/>
      <c r="C65" s="9" t="inlineStr">
        <is>
          <t>Snack</t>
        </is>
      </c>
      <c r="D65" s="9" t="inlineStr">
        <is>
          <t>2x Weissbier</t>
        </is>
      </c>
      <c r="E65" s="9" t="n"/>
      <c r="F65" s="9" t="n"/>
      <c r="G65" s="9" t="n"/>
      <c r="H65" s="9" t="n"/>
      <c r="I65" s="9" t="n"/>
      <c r="J65" s="9" t="n"/>
      <c r="K65" s="9" t="inlineStr">
        <is>
          <t>~500 kcal from beer</t>
        </is>
      </c>
      <c r="L65" s="9" t="n"/>
    </row>
    <row r="66" ht="15" customHeight="1">
      <c r="A66" s="6" t="n">
        <v>46092</v>
      </c>
      <c r="B66" s="7" t="inlineStr">
        <is>
          <t>Wednesday</t>
        </is>
      </c>
      <c r="C66" s="7" t="inlineStr">
        <is>
          <t>Breakfast</t>
        </is>
      </c>
      <c r="D66" s="7" t="inlineStr">
        <is>
          <t>Yoghurt, granola &amp; banana</t>
        </is>
      </c>
      <c r="E66" s="7" t="n">
        <v>1</v>
      </c>
      <c r="F66" s="7" t="n"/>
      <c r="G66" s="7" t="n"/>
      <c r="H66" s="7" t="n"/>
      <c r="I66" s="7" t="n"/>
      <c r="J66" s="7" t="n"/>
      <c r="K66" s="7" t="inlineStr">
        <is>
          <t>Recurring breakfast</t>
        </is>
      </c>
      <c r="L66" s="7" t="inlineStr">
        <is>
          <t>Avg 5.6, peak 8.3. Mild spikes only despite spag bol + rice. 4 beers.</t>
        </is>
      </c>
    </row>
    <row r="67" ht="15" customHeight="1">
      <c r="A67" s="8" t="n">
        <v>46092</v>
      </c>
      <c r="B67" s="9" t="n"/>
      <c r="C67" s="9" t="inlineStr">
        <is>
          <t>Lunch</t>
        </is>
      </c>
      <c r="D67" s="9" t="inlineStr">
        <is>
          <t>Spaghetti bolognese</t>
        </is>
      </c>
      <c r="E67" s="9" t="n">
        <v>1</v>
      </c>
      <c r="F67" s="9" t="n"/>
      <c r="G67" s="9" t="n"/>
      <c r="H67" s="9" t="n"/>
      <c r="I67" s="9" t="n"/>
      <c r="J67" s="9" t="n"/>
      <c r="K67" s="9" t="inlineStr">
        <is>
          <t>Skiing all day</t>
        </is>
      </c>
      <c r="L67" s="9" t="n"/>
    </row>
    <row r="68" ht="15" customHeight="1">
      <c r="A68" s="8" t="n">
        <v>46092</v>
      </c>
      <c r="B68" s="9" t="n"/>
      <c r="C68" s="9" t="inlineStr">
        <is>
          <t>Dinner</t>
        </is>
      </c>
      <c r="D68" s="9" t="inlineStr">
        <is>
          <t>Gochujang chicken with rice</t>
        </is>
      </c>
      <c r="E68" s="9" t="n">
        <v>1</v>
      </c>
      <c r="F68" s="9" t="n"/>
      <c r="G68" s="9" t="n"/>
      <c r="H68" s="9" t="n"/>
      <c r="I68" s="9" t="n"/>
      <c r="J68" s="9" t="n"/>
      <c r="K68" s="9" t="inlineStr">
        <is>
          <t>Homemade</t>
        </is>
      </c>
      <c r="L68" s="9" t="n"/>
    </row>
    <row r="69" ht="15" customHeight="1">
      <c r="A69" s="8" t="n">
        <v>46092</v>
      </c>
      <c r="B69" s="9" t="n"/>
      <c r="C69" s="9" t="inlineStr">
        <is>
          <t>Snack</t>
        </is>
      </c>
      <c r="D69" s="9" t="inlineStr">
        <is>
          <t>4x beer</t>
        </is>
      </c>
      <c r="E69" s="9" t="n"/>
      <c r="F69" s="9" t="n"/>
      <c r="G69" s="9" t="n"/>
      <c r="H69" s="9" t="n"/>
      <c r="I69" s="9" t="n"/>
      <c r="J69" s="9" t="n"/>
      <c r="K69" s="9" t="inlineStr">
        <is>
          <t>~900 kcal from beer. Heavy night — reflected in next day readiness (68).</t>
        </is>
      </c>
      <c r="L69" s="9" t="n"/>
    </row>
    <row r="70" ht="15" customHeight="1">
      <c r="A70" s="6" t="n">
        <v>46093</v>
      </c>
      <c r="B70" s="7" t="inlineStr">
        <is>
          <t>Thursday</t>
        </is>
      </c>
      <c r="C70" s="7" t="inlineStr">
        <is>
          <t>Breakfast</t>
        </is>
      </c>
      <c r="D70" s="7" t="inlineStr">
        <is>
          <t>Yoghurt, granola &amp; banana</t>
        </is>
      </c>
      <c r="E70" s="7" t="n">
        <v>1</v>
      </c>
      <c r="F70" s="7" t="n"/>
      <c r="G70" s="7" t="n"/>
      <c r="H70" s="7" t="n"/>
      <c r="I70" s="7" t="n"/>
      <c r="J70" s="7" t="n"/>
      <c r="K70" s="7" t="inlineStr">
        <is>
          <t>Recurring breakfast</t>
        </is>
      </c>
      <c r="L70" s="7" t="n"/>
    </row>
    <row r="71" ht="15" customHeight="1">
      <c r="A71" s="8" t="n">
        <v>46093</v>
      </c>
      <c r="B71" s="9" t="n"/>
      <c r="C71" s="9" t="inlineStr">
        <is>
          <t>Lunch</t>
        </is>
      </c>
      <c r="D71" s="9" t="inlineStr">
        <is>
          <t>Tiroler Gröstl</t>
        </is>
      </c>
      <c r="E71" s="9" t="n">
        <v>1</v>
      </c>
      <c r="F71" s="9" t="n"/>
      <c r="G71" s="9" t="n"/>
      <c r="H71" s="9" t="n"/>
      <c r="I71" s="9" t="n"/>
      <c r="J71" s="9" t="n"/>
      <c r="K71" s="9" t="inlineStr">
        <is>
          <t>Traditional Tyrolean — pan-fried potatoes, meat, egg. Heavy carbs.</t>
        </is>
      </c>
      <c r="L71" s="9" t="inlineStr">
        <is>
          <t>Spike to 11.3 mmol/L at 14:16 — second biggest spike. Potato-heavy dish</t>
        </is>
      </c>
    </row>
    <row r="72" ht="15" customHeight="1">
      <c r="A72" s="8" t="n">
        <v>46093</v>
      </c>
      <c r="B72" s="9" t="n"/>
      <c r="C72" s="9" t="inlineStr">
        <is>
          <t>Dinner</t>
        </is>
      </c>
      <c r="D72" s="9" t="inlineStr">
        <is>
          <t>Ravioli</t>
        </is>
      </c>
      <c r="E72" s="9" t="n">
        <v>1</v>
      </c>
      <c r="F72" s="9" t="n"/>
      <c r="G72" s="9" t="n"/>
      <c r="H72" s="9" t="n"/>
      <c r="I72" s="9" t="n"/>
      <c r="J72" s="9" t="n"/>
      <c r="K72" s="9" t="inlineStr">
        <is>
          <t>Evening meal</t>
        </is>
      </c>
      <c r="L72" s="9" t="n"/>
    </row>
    <row r="73" ht="15" customHeight="1">
      <c r="A73" s="8" t="n">
        <v>46093</v>
      </c>
      <c r="B73" s="9" t="n"/>
      <c r="C73" s="9" t="inlineStr">
        <is>
          <t>Snack</t>
        </is>
      </c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</row>
    <row r="74" ht="15" customHeight="1">
      <c r="A74" s="6" t="n">
        <v>46094</v>
      </c>
      <c r="B74" s="7" t="inlineStr">
        <is>
          <t>Friday</t>
        </is>
      </c>
      <c r="C74" s="7" t="inlineStr">
        <is>
          <t>Breakfast</t>
        </is>
      </c>
      <c r="D74" s="7" t="inlineStr">
        <is>
          <t>Yoghurt, granola &amp; banana</t>
        </is>
      </c>
      <c r="E74" s="7" t="n">
        <v>1</v>
      </c>
      <c r="F74" s="7" t="n"/>
      <c r="G74" s="7" t="n"/>
      <c r="H74" s="7" t="n"/>
      <c r="I74" s="7" t="n"/>
      <c r="J74" s="7" t="n"/>
      <c r="K74" s="7" t="inlineStr">
        <is>
          <t>Recurring breakfast</t>
        </is>
      </c>
      <c r="L74" s="7" t="n"/>
    </row>
    <row r="75" ht="15" customHeight="1">
      <c r="A75" s="8" t="n">
        <v>46094</v>
      </c>
      <c r="B75" s="9" t="n"/>
      <c r="C75" s="9" t="inlineStr">
        <is>
          <t>Lunch</t>
        </is>
      </c>
      <c r="D75" s="9" t="inlineStr">
        <is>
          <t>Pizza</t>
        </is>
      </c>
      <c r="E75" s="9" t="n">
        <v>1</v>
      </c>
      <c r="F75" s="9" t="n"/>
      <c r="G75" s="9" t="n"/>
      <c r="H75" s="9" t="n"/>
      <c r="I75" s="9" t="n"/>
      <c r="J75" s="9" t="n"/>
      <c r="K75" s="9" t="inlineStr">
        <is>
          <t>Ski resort lunch</t>
        </is>
      </c>
      <c r="L75" s="9" t="inlineStr">
        <is>
          <t>Peak 9.7 mmol/L at 15:11 post-pizza</t>
        </is>
      </c>
    </row>
    <row r="76" ht="15" customHeight="1">
      <c r="A76" s="8" t="n">
        <v>46094</v>
      </c>
      <c r="B76" s="9" t="n"/>
      <c r="C76" s="9" t="inlineStr">
        <is>
          <t>Dinner</t>
        </is>
      </c>
      <c r="D76" s="9" t="inlineStr">
        <is>
          <t>Spicy gochujang veg pasta with crispy Brussels sprouts</t>
        </is>
      </c>
      <c r="E76" s="9" t="n">
        <v>1</v>
      </c>
      <c r="F76" s="9" t="n"/>
      <c r="G76" s="9" t="n"/>
      <c r="H76" s="9" t="n"/>
      <c r="I76" s="9" t="n"/>
      <c r="J76" s="9" t="n"/>
      <c r="K76" s="9" t="inlineStr">
        <is>
          <t>Homemade. Crispy Brussels sprouts side.</t>
        </is>
      </c>
      <c r="L76" s="9" t="inlineStr">
        <is>
          <t>Further spikes 19:00-20:00, peak 8.4</t>
        </is>
      </c>
    </row>
    <row r="77" ht="15" customHeight="1">
      <c r="A77" s="8" t="n">
        <v>46094</v>
      </c>
      <c r="B77" s="9" t="n"/>
      <c r="C77" s="9" t="inlineStr">
        <is>
          <t>Snack</t>
        </is>
      </c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</row>
    <row r="78" ht="15" customHeight="1">
      <c r="A78" s="6" t="n">
        <v>46095</v>
      </c>
      <c r="B78" s="7" t="inlineStr">
        <is>
          <t>Saturday</t>
        </is>
      </c>
      <c r="C78" s="7" t="inlineStr">
        <is>
          <t>Breakfast</t>
        </is>
      </c>
      <c r="D78" s="7" t="inlineStr">
        <is>
          <t>Yoghurt, granola &amp; banana</t>
        </is>
      </c>
      <c r="E78" s="7" t="n">
        <v>1</v>
      </c>
      <c r="F78" s="7" t="n"/>
      <c r="G78" s="7" t="n"/>
      <c r="H78" s="7" t="n"/>
      <c r="I78" s="7" t="n"/>
      <c r="J78" s="7" t="n"/>
      <c r="K78" s="7" t="inlineStr">
        <is>
          <t>Recurring breakfast</t>
        </is>
      </c>
      <c r="L78" s="7" t="inlineStr">
        <is>
          <t>Avg 4.6 — lowest of the week. Concerning low of 2.5 mmol/L overnight. Flag for Dr Lelde.</t>
        </is>
      </c>
    </row>
    <row r="79" ht="15" customHeight="1">
      <c r="A79" s="8" t="n">
        <v>46095</v>
      </c>
      <c r="B79" s="9" t="n"/>
      <c r="C79" s="9" t="inlineStr">
        <is>
          <t>Lunch</t>
        </is>
      </c>
      <c r="D79" s="9" t="inlineStr">
        <is>
          <t>Halloumi wrap</t>
        </is>
      </c>
      <c r="E79" s="9" t="n">
        <v>1</v>
      </c>
      <c r="F79" s="9" t="n"/>
      <c r="G79" s="9" t="n"/>
      <c r="H79" s="9" t="n"/>
      <c r="I79" s="9" t="n"/>
      <c r="J79" s="9" t="n"/>
      <c r="K79" s="9" t="inlineStr">
        <is>
          <t>Lunch out</t>
        </is>
      </c>
      <c r="L79" s="9" t="inlineStr">
        <is>
          <t>Peak 9.4 mmol/L at 12:21</t>
        </is>
      </c>
    </row>
    <row r="80" ht="15" customHeight="1">
      <c r="A80" s="8" t="n">
        <v>46095</v>
      </c>
      <c r="B80" s="9" t="n"/>
      <c r="C80" s="9" t="inlineStr">
        <is>
          <t>Dinner</t>
        </is>
      </c>
      <c r="D80" s="9" t="inlineStr">
        <is>
          <t>Pesto pasta</t>
        </is>
      </c>
      <c r="E80" s="9" t="n">
        <v>1</v>
      </c>
      <c r="F80" s="9" t="n"/>
      <c r="G80" s="9" t="n"/>
      <c r="H80" s="9" t="n"/>
      <c r="I80" s="9" t="n"/>
      <c r="J80" s="9" t="n"/>
      <c r="K80" s="9" t="inlineStr">
        <is>
          <t>Pesto pasta — similar to Ottolenghi recipe</t>
        </is>
      </c>
      <c r="L80" s="9" t="n"/>
    </row>
    <row r="81" ht="15" customHeight="1">
      <c r="A81" s="8" t="n">
        <v>46095</v>
      </c>
      <c r="B81" s="9" t="n"/>
      <c r="C81" s="9" t="inlineStr">
        <is>
          <t>Snack</t>
        </is>
      </c>
      <c r="D81" s="9" t="inlineStr">
        <is>
          <t>Nachos</t>
        </is>
      </c>
      <c r="E81" s="9" t="n">
        <v>1</v>
      </c>
      <c r="F81" s="9" t="n"/>
      <c r="G81" s="9" t="n"/>
      <c r="H81" s="9" t="n"/>
      <c r="I81" s="9" t="n"/>
      <c r="J81" s="9" t="n"/>
      <c r="K81" s="9" t="inlineStr">
        <is>
          <t>Evening snack</t>
        </is>
      </c>
      <c r="L81" s="9" t="n"/>
    </row>
    <row r="82" ht="15" customHeight="1">
      <c r="A82" s="6" t="n">
        <v>46096</v>
      </c>
      <c r="B82" s="7" t="inlineStr">
        <is>
          <t>Sunday</t>
        </is>
      </c>
      <c r="C82" s="7" t="inlineStr">
        <is>
          <t>Breakfast</t>
        </is>
      </c>
      <c r="D82" s="7" t="inlineStr">
        <is>
          <t>Mediterranean wrap</t>
        </is>
      </c>
      <c r="E82" s="7" t="n"/>
      <c r="F82" s="7" t="n"/>
      <c r="G82" s="7" t="n"/>
      <c r="H82" s="7" t="n"/>
      <c r="I82" s="7" t="n"/>
      <c r="J82" s="7" t="n"/>
      <c r="K82" s="7" t="inlineStr">
        <is>
          <t>Late breakfast ~11am. Last meal before food poisoning onset.</t>
        </is>
      </c>
      <c r="L82" s="7" t="inlineStr">
        <is>
          <t>No CGM data — sensor removed while sick. Partial data only.</t>
        </is>
      </c>
    </row>
    <row r="83" ht="15" customHeight="1">
      <c r="A83" s="8" t="n">
        <v>46096</v>
      </c>
      <c r="B83" s="9" t="n"/>
      <c r="C83" s="9" t="inlineStr">
        <is>
          <t>Lunch</t>
        </is>
      </c>
      <c r="D83" s="9" t="inlineStr">
        <is>
          <t>Leftovers</t>
        </is>
      </c>
      <c r="E83" s="9" t="n">
        <v>1</v>
      </c>
      <c r="F83" s="9" t="n"/>
      <c r="G83" s="9" t="n"/>
      <c r="H83" s="9" t="n"/>
      <c r="I83" s="9" t="n"/>
      <c r="J83" s="9" t="n"/>
      <c r="K83" s="9" t="inlineStr">
        <is>
          <t>Light lunch</t>
        </is>
      </c>
      <c r="L83" s="9" t="n"/>
    </row>
    <row r="84" ht="15" customHeight="1">
      <c r="A84" s="8" t="n">
        <v>46096</v>
      </c>
      <c r="B84" s="9" t="n"/>
      <c r="C84" s="9" t="inlineStr">
        <is>
          <t>Dinner</t>
        </is>
      </c>
      <c r="D84" s="9" t="inlineStr">
        <is>
          <t>Pizza (2 slices)</t>
        </is>
      </c>
      <c r="E84" s="9" t="n"/>
      <c r="F84" s="9" t="n"/>
      <c r="G84" s="9" t="n"/>
      <c r="H84" s="9" t="n"/>
      <c r="I84" s="9" t="n"/>
      <c r="J84" s="9" t="n"/>
      <c r="K84" s="9" t="inlineStr">
        <is>
          <t>Likely cause of food poisoning</t>
        </is>
      </c>
      <c r="L84" s="9" t="n"/>
    </row>
    <row r="85" ht="15" customHeight="1">
      <c r="A85" s="8" t="n">
        <v>46096</v>
      </c>
      <c r="B85" s="9" t="n"/>
      <c r="C85" s="9" t="inlineStr">
        <is>
          <t>Snack</t>
        </is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</row>
    <row r="86" ht="15" customHeight="1">
      <c r="A86" s="6" t="n">
        <v>46097</v>
      </c>
      <c r="B86" s="7" t="inlineStr">
        <is>
          <t>Monday</t>
        </is>
      </c>
      <c r="C86" s="7" t="inlineStr">
        <is>
          <t>Breakfast</t>
        </is>
      </c>
      <c r="D86" s="7" t="inlineStr">
        <is>
          <t>Wholewheat tortilla wrap</t>
        </is>
      </c>
      <c r="E86" s="7" t="n"/>
      <c r="F86" s="7" t="n"/>
      <c r="G86" s="7" t="n"/>
      <c r="H86" s="7" t="n"/>
      <c r="I86" s="7" t="n"/>
      <c r="J86" s="7" t="n"/>
      <c r="K86" s="7" t="inlineStr">
        <is>
          <t>Food poisoning — could barely eat. Only 2 wraps all day.</t>
        </is>
      </c>
      <c r="L86" s="7" t="inlineStr">
        <is>
          <t>No CGM data — sensor off</t>
        </is>
      </c>
    </row>
    <row r="87" ht="15" customHeight="1">
      <c r="A87" s="8" t="n">
        <v>46097</v>
      </c>
      <c r="B87" s="9" t="n"/>
      <c r="C87" s="9" t="inlineStr">
        <is>
          <t>Lunch</t>
        </is>
      </c>
      <c r="D87" s="9" t="inlineStr">
        <is>
          <t>Wholewheat tortilla wrap</t>
        </is>
      </c>
      <c r="E87" s="9" t="n"/>
      <c r="F87" s="9" t="n"/>
      <c r="G87" s="9" t="n"/>
      <c r="H87" s="9" t="n"/>
      <c r="I87" s="9" t="n"/>
      <c r="J87" s="9" t="n"/>
      <c r="K87" s="9" t="inlineStr">
        <is>
          <t>Second wrap, later in day</t>
        </is>
      </c>
      <c r="L87" s="9" t="n"/>
    </row>
    <row r="88" ht="15" customHeight="1">
      <c r="A88" s="8" t="n">
        <v>46097</v>
      </c>
      <c r="B88" s="9" t="n"/>
      <c r="C88" s="9" t="inlineStr">
        <is>
          <t>Dinner</t>
        </is>
      </c>
      <c r="D88" s="9" t="n"/>
      <c r="E88" s="9" t="n"/>
      <c r="F88" s="9" t="n"/>
      <c r="G88" s="9" t="n"/>
      <c r="H88" s="9" t="n"/>
      <c r="I88" s="9" t="n"/>
      <c r="J88" s="9" t="n"/>
      <c r="K88" s="9" t="inlineStr">
        <is>
          <t>Nothing — too sick</t>
        </is>
      </c>
      <c r="L88" s="9" t="n"/>
    </row>
    <row r="89" ht="15" customHeight="1">
      <c r="A89" s="8" t="n">
        <v>46097</v>
      </c>
      <c r="B89" s="9" t="n"/>
      <c r="C89" s="9" t="inlineStr">
        <is>
          <t>Snack</t>
        </is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" customHeight="1">
      <c r="A90" s="6" t="n">
        <v>46098</v>
      </c>
      <c r="B90" s="7" t="inlineStr">
        <is>
          <t>Tuesday</t>
        </is>
      </c>
      <c r="C90" s="7" t="inlineStr">
        <is>
          <t>Breakfast</t>
        </is>
      </c>
      <c r="D90" s="7" t="inlineStr">
        <is>
          <t>Wholewheat tortilla wrap</t>
        </is>
      </c>
      <c r="E90" s="7" t="n"/>
      <c r="F90" s="7" t="n"/>
      <c r="G90" s="7" t="n"/>
      <c r="H90" s="7" t="n"/>
      <c r="I90" s="7" t="n"/>
      <c r="J90" s="7" t="n"/>
      <c r="K90" s="7" t="inlineStr">
        <is>
          <t>Still recovering. Only 1 wrap all day.</t>
        </is>
      </c>
      <c r="L90" s="7" t="inlineStr">
        <is>
          <t>No CGM data — sensor off</t>
        </is>
      </c>
    </row>
    <row r="91" ht="15" customHeight="1">
      <c r="A91" s="8" t="n">
        <v>46098</v>
      </c>
      <c r="B91" s="9" t="n"/>
      <c r="C91" s="9" t="inlineStr">
        <is>
          <t>Lunch</t>
        </is>
      </c>
      <c r="D91" s="9" t="n"/>
      <c r="E91" s="9" t="n"/>
      <c r="F91" s="9" t="n"/>
      <c r="G91" s="9" t="n"/>
      <c r="H91" s="9" t="n"/>
      <c r="I91" s="9" t="n"/>
      <c r="J91" s="9" t="n"/>
      <c r="K91" s="9" t="inlineStr">
        <is>
          <t>Nothing — still sick</t>
        </is>
      </c>
      <c r="L91" s="9" t="n"/>
    </row>
    <row r="92" ht="15" customHeight="1">
      <c r="A92" s="8" t="n">
        <v>46098</v>
      </c>
      <c r="B92" s="9" t="n"/>
      <c r="C92" s="9" t="inlineStr">
        <is>
          <t>Dinner</t>
        </is>
      </c>
      <c r="D92" s="9" t="n"/>
      <c r="E92" s="9" t="n"/>
      <c r="F92" s="9" t="n"/>
      <c r="G92" s="9" t="n"/>
      <c r="H92" s="9" t="n"/>
      <c r="I92" s="9" t="n"/>
      <c r="J92" s="9" t="n"/>
      <c r="K92" s="9" t="inlineStr">
        <is>
          <t>Nothing — still sick</t>
        </is>
      </c>
      <c r="L92" s="9" t="n"/>
    </row>
    <row r="93" ht="15" customHeight="1">
      <c r="A93" s="8" t="n">
        <v>46098</v>
      </c>
      <c r="B93" s="9" t="n"/>
      <c r="C93" s="9" t="inlineStr">
        <is>
          <t>Snack</t>
        </is>
      </c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</row>
    <row r="94" ht="15" customHeight="1">
      <c r="A94" s="6" t="n">
        <v>46099</v>
      </c>
      <c r="B94" s="7" t="inlineStr">
        <is>
          <t>Wednesday</t>
        </is>
      </c>
      <c r="C94" s="7" t="inlineStr">
        <is>
          <t>Breakfast</t>
        </is>
      </c>
      <c r="D94" s="7" t="inlineStr">
        <is>
          <t>Wholewheat tortilla wrap</t>
        </is>
      </c>
      <c r="E94" s="7" t="n"/>
      <c r="F94" s="7" t="n"/>
      <c r="G94" s="7" t="n"/>
      <c r="H94" s="7" t="n"/>
      <c r="I94" s="7" t="n"/>
      <c r="J94" s="7" t="n"/>
      <c r="K94" s="7" t="inlineStr">
        <is>
          <t>Starting to recover. Appetite slowly returning.</t>
        </is>
      </c>
      <c r="L94" s="7" t="inlineStr">
        <is>
          <t>No CGM data — sensor off</t>
        </is>
      </c>
    </row>
    <row r="95" ht="15" customHeight="1">
      <c r="A95" s="8" t="n">
        <v>46099</v>
      </c>
      <c r="B95" s="9" t="n"/>
      <c r="C95" s="9" t="inlineStr">
        <is>
          <t>Lunch</t>
        </is>
      </c>
      <c r="D95" s="9" t="inlineStr">
        <is>
          <t>Vegetable gyoza</t>
        </is>
      </c>
      <c r="E95" s="9" t="n"/>
      <c r="F95" s="9" t="n"/>
      <c r="G95" s="9" t="n"/>
      <c r="H95" s="9" t="n"/>
      <c r="I95" s="9" t="n"/>
      <c r="J95" s="9" t="n"/>
      <c r="K95" s="9" t="inlineStr">
        <is>
          <t>First proper meal in days</t>
        </is>
      </c>
      <c r="L95" s="9" t="n"/>
    </row>
    <row r="96" ht="15" customHeight="1">
      <c r="A96" s="8" t="n">
        <v>46099</v>
      </c>
      <c r="B96" s="9" t="n"/>
      <c r="C96" s="9" t="inlineStr">
        <is>
          <t>Dinner</t>
        </is>
      </c>
      <c r="D96" s="9" t="inlineStr">
        <is>
          <t>Tofu mince rice bowl</t>
        </is>
      </c>
      <c r="E96" s="9" t="n"/>
      <c r="F96" s="9" t="n"/>
      <c r="G96" s="9" t="n"/>
      <c r="H96" s="9" t="n"/>
      <c r="I96" s="9" t="n"/>
      <c r="J96" s="9" t="n"/>
      <c r="K96" s="9" t="inlineStr">
        <is>
          <t>Homemade. Appetite returning.</t>
        </is>
      </c>
      <c r="L96" s="9" t="n"/>
    </row>
    <row r="97" ht="15" customHeight="1">
      <c r="A97" s="8" t="n">
        <v>46099</v>
      </c>
      <c r="B97" s="9" t="n"/>
      <c r="C97" s="9" t="inlineStr">
        <is>
          <t>Snack</t>
        </is>
      </c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</row>
    <row r="98" ht="15" customHeight="1">
      <c r="A98" s="6" t="n">
        <v>46100</v>
      </c>
      <c r="B98" s="7" t="inlineStr">
        <is>
          <t>Thursday</t>
        </is>
      </c>
      <c r="C98" s="7" t="inlineStr">
        <is>
          <t>Breakfast</t>
        </is>
      </c>
      <c r="D98" s="7" t="inlineStr">
        <is>
          <t>Tofu mince rice bowl (leftover)</t>
        </is>
      </c>
      <c r="E98" s="7" t="n"/>
      <c r="F98" s="7" t="n"/>
      <c r="G98" s="7" t="n"/>
      <c r="H98" s="7" t="n"/>
      <c r="I98" s="7" t="n"/>
      <c r="J98" s="7" t="n"/>
      <c r="K98" s="7" t="inlineStr">
        <is>
          <t>Leftovers from last night</t>
        </is>
      </c>
      <c r="L98" s="7" t="inlineStr">
        <is>
          <t>CGM sensor reapplied — data resumes today</t>
        </is>
      </c>
    </row>
    <row r="99" ht="15" customHeight="1">
      <c r="A99" s="8" t="n">
        <v>46100</v>
      </c>
      <c r="B99" s="9" t="n"/>
      <c r="C99" s="9" t="inlineStr">
        <is>
          <t>Lunch</t>
        </is>
      </c>
      <c r="D99" s="9" t="inlineStr">
        <is>
          <t>Vegetable wrap</t>
        </is>
      </c>
      <c r="E99" s="9" t="n"/>
      <c r="F99" s="9" t="n"/>
      <c r="G99" s="9" t="n"/>
      <c r="H99" s="9" t="n"/>
      <c r="I99" s="9" t="n"/>
      <c r="J99" s="9" t="n"/>
      <c r="K99" s="9" t="n"/>
      <c r="L99" s="9" t="n"/>
    </row>
    <row r="100" ht="15" customHeight="1">
      <c r="A100" s="8" t="n">
        <v>46100</v>
      </c>
      <c r="B100" s="9" t="n"/>
      <c r="C100" s="9" t="inlineStr">
        <is>
          <t>Dinner</t>
        </is>
      </c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</row>
    <row r="101" ht="15" customHeight="1">
      <c r="A101" s="8" t="n">
        <v>46100</v>
      </c>
      <c r="B101" s="9" t="n"/>
      <c r="C101" s="9" t="inlineStr">
        <is>
          <t>Snack</t>
        </is>
      </c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</row>
    <row r="102" ht="15" customHeight="1">
      <c r="A102" s="6" t="n">
        <v>46101</v>
      </c>
      <c r="B102" s="7" t="inlineStr">
        <is>
          <t>Friday</t>
        </is>
      </c>
      <c r="C102" s="7" t="inlineStr">
        <is>
          <t>Breakfast</t>
        </is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 ht="15" customHeight="1">
      <c r="A103" s="8" t="n">
        <v>46101</v>
      </c>
      <c r="B103" s="9" t="n"/>
      <c r="C103" s="9" t="inlineStr">
        <is>
          <t>Lunch</t>
        </is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 ht="15" customHeight="1">
      <c r="A104" s="8" t="n">
        <v>46101</v>
      </c>
      <c r="B104" s="9" t="n"/>
      <c r="C104" s="9" t="inlineStr">
        <is>
          <t>Dinner</t>
        </is>
      </c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</row>
    <row r="105" ht="15" customHeight="1">
      <c r="A105" s="8" t="n">
        <v>46101</v>
      </c>
      <c r="B105" s="9" t="n"/>
      <c r="C105" s="9" t="inlineStr">
        <is>
          <t>Snack</t>
        </is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3.xml><?xml version="1.0" encoding="utf-8"?>
<worksheet xmlns="http://schemas.openxmlformats.org/spreadsheetml/2006/main">
  <sheetPr>
    <tabColor rgb="FF2E75B6"/>
    <outlinePr summaryBelow="1" summaryRight="1"/>
    <pageSetUpPr/>
  </sheetPr>
  <dimension ref="A1:I28"/>
  <sheetViews>
    <sheetView view="normal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6796875" defaultRowHeight="15" outlineLevelRow="0"/>
  <cols>
    <col width="12" customWidth="1" min="1" max="2"/>
    <col width="14" customWidth="1" min="3" max="3"/>
    <col width="16" customWidth="1" min="4" max="4"/>
    <col width="14" customWidth="1" min="5" max="5"/>
    <col width="12" customWidth="1" min="6" max="6"/>
    <col width="14" customWidth="1" min="7" max="8"/>
    <col width="40" customWidth="1" min="9" max="9"/>
  </cols>
  <sheetData>
    <row r="1" ht="30" customHeight="1">
      <c r="A1" s="5" t="inlineStr">
        <is>
          <t>Date</t>
        </is>
      </c>
      <c r="B1" s="5" t="inlineStr">
        <is>
          <t>Day</t>
        </is>
      </c>
      <c r="C1" s="5" t="inlineStr">
        <is>
          <t>Total Calories</t>
        </is>
      </c>
      <c r="D1" s="5" t="inlineStr">
        <is>
          <t>Total Protein (g)</t>
        </is>
      </c>
      <c r="E1" s="5" t="inlineStr">
        <is>
          <t>Total Carbs (g)</t>
        </is>
      </c>
      <c r="F1" s="5" t="inlineStr">
        <is>
          <t>Total Fat (g)</t>
        </is>
      </c>
      <c r="G1" s="5" t="inlineStr">
        <is>
          <t>Total Fibre (g)</t>
        </is>
      </c>
      <c r="H1" s="5" t="inlineStr">
        <is>
          <t>Meals Logged</t>
        </is>
      </c>
      <c r="I1" s="5" t="inlineStr">
        <is>
          <t>Glucose Flags</t>
        </is>
      </c>
    </row>
    <row r="2" ht="15" customHeight="1">
      <c r="A2" s="8" t="n">
        <v>46076</v>
      </c>
      <c r="B2" s="9" t="inlineStr">
        <is>
          <t>Monday</t>
        </is>
      </c>
      <c r="C2" s="9">
        <f>SUM('Daily Log'!F2:F5)</f>
        <v/>
      </c>
      <c r="D2" s="9">
        <f>SUM('Daily Log'!G2:G5)</f>
        <v/>
      </c>
      <c r="E2" s="9">
        <f>SUM('Daily Log'!H2:H5)</f>
        <v/>
      </c>
      <c r="F2" s="9">
        <f>SUM('Daily Log'!I2:I5)</f>
        <v/>
      </c>
      <c r="G2" s="9">
        <f>SUM('Daily Log'!J2:J5)</f>
        <v/>
      </c>
      <c r="H2" s="9">
        <f>COUNTA('Daily Log'!D2:D5)</f>
        <v/>
      </c>
      <c r="I2" s="9">
        <f>COUNTA('Daily Log'!L2:L5)</f>
        <v/>
      </c>
    </row>
    <row r="3" ht="15" customHeight="1">
      <c r="A3" s="8" t="n">
        <v>46077</v>
      </c>
      <c r="B3" s="9" t="inlineStr">
        <is>
          <t>Tuesday</t>
        </is>
      </c>
      <c r="C3" s="9">
        <f>SUM('Daily Log'!F6:F9)</f>
        <v/>
      </c>
      <c r="D3" s="9">
        <f>SUM('Daily Log'!G6:G9)</f>
        <v/>
      </c>
      <c r="E3" s="9">
        <f>SUM('Daily Log'!H6:H9)</f>
        <v/>
      </c>
      <c r="F3" s="9">
        <f>SUM('Daily Log'!I6:I9)</f>
        <v/>
      </c>
      <c r="G3" s="9">
        <f>SUM('Daily Log'!J6:J9)</f>
        <v/>
      </c>
      <c r="H3" s="9">
        <f>COUNTA('Daily Log'!D6:D9)</f>
        <v/>
      </c>
      <c r="I3" s="9">
        <f>COUNTA('Daily Log'!L6:L9)</f>
        <v/>
      </c>
    </row>
    <row r="4" ht="15" customHeight="1">
      <c r="A4" s="8" t="n">
        <v>46078</v>
      </c>
      <c r="B4" s="9" t="inlineStr">
        <is>
          <t>Wednesday</t>
        </is>
      </c>
      <c r="C4" s="9">
        <f>SUM('Daily Log'!F10:F13)</f>
        <v/>
      </c>
      <c r="D4" s="9">
        <f>SUM('Daily Log'!G10:G13)</f>
        <v/>
      </c>
      <c r="E4" s="9">
        <f>SUM('Daily Log'!H10:H13)</f>
        <v/>
      </c>
      <c r="F4" s="9">
        <f>SUM('Daily Log'!I10:I13)</f>
        <v/>
      </c>
      <c r="G4" s="9">
        <f>SUM('Daily Log'!J10:J13)</f>
        <v/>
      </c>
      <c r="H4" s="9">
        <f>COUNTA('Daily Log'!D10:D13)</f>
        <v/>
      </c>
      <c r="I4" s="9">
        <f>COUNTA('Daily Log'!L10:L13)</f>
        <v/>
      </c>
    </row>
    <row r="5" ht="15" customHeight="1">
      <c r="A5" s="8" t="n">
        <v>46079</v>
      </c>
      <c r="B5" s="9" t="inlineStr">
        <is>
          <t>Thursday</t>
        </is>
      </c>
      <c r="C5" s="9">
        <f>SUM('Daily Log'!F14:F17)</f>
        <v/>
      </c>
      <c r="D5" s="9">
        <f>SUM('Daily Log'!G14:G17)</f>
        <v/>
      </c>
      <c r="E5" s="9">
        <f>SUM('Daily Log'!H14:H17)</f>
        <v/>
      </c>
      <c r="F5" s="9">
        <f>SUM('Daily Log'!I14:I17)</f>
        <v/>
      </c>
      <c r="G5" s="9">
        <f>SUM('Daily Log'!J14:J17)</f>
        <v/>
      </c>
      <c r="H5" s="9">
        <f>COUNTA('Daily Log'!D14:D17)</f>
        <v/>
      </c>
      <c r="I5" s="9">
        <f>COUNTA('Daily Log'!L14:L17)</f>
        <v/>
      </c>
    </row>
    <row r="6" ht="15" customHeight="1">
      <c r="A6" s="8" t="n">
        <v>46080</v>
      </c>
      <c r="B6" s="9" t="inlineStr">
        <is>
          <t>Friday</t>
        </is>
      </c>
      <c r="C6" s="9">
        <f>SUM('Daily Log'!F18:F21)</f>
        <v/>
      </c>
      <c r="D6" s="9">
        <f>SUM('Daily Log'!G18:G21)</f>
        <v/>
      </c>
      <c r="E6" s="9">
        <f>SUM('Daily Log'!H18:H21)</f>
        <v/>
      </c>
      <c r="F6" s="9">
        <f>SUM('Daily Log'!I18:I21)</f>
        <v/>
      </c>
      <c r="G6" s="9">
        <f>SUM('Daily Log'!J18:J21)</f>
        <v/>
      </c>
      <c r="H6" s="9">
        <f>COUNTA('Daily Log'!D18:D21)</f>
        <v/>
      </c>
      <c r="I6" s="9">
        <f>COUNTA('Daily Log'!L18:L21)</f>
        <v/>
      </c>
    </row>
    <row r="7" ht="15" customHeight="1">
      <c r="A7" s="8" t="n">
        <v>46081</v>
      </c>
      <c r="B7" s="9" t="inlineStr">
        <is>
          <t>Saturday</t>
        </is>
      </c>
      <c r="C7" s="9">
        <f>SUM('Daily Log'!F22:F25)</f>
        <v/>
      </c>
      <c r="D7" s="9">
        <f>SUM('Daily Log'!G22:G25)</f>
        <v/>
      </c>
      <c r="E7" s="9">
        <f>SUM('Daily Log'!H22:H25)</f>
        <v/>
      </c>
      <c r="F7" s="9">
        <f>SUM('Daily Log'!I22:I25)</f>
        <v/>
      </c>
      <c r="G7" s="9">
        <f>SUM('Daily Log'!J22:J25)</f>
        <v/>
      </c>
      <c r="H7" s="9">
        <f>COUNTA('Daily Log'!D22:D25)</f>
        <v/>
      </c>
      <c r="I7" s="9">
        <f>COUNTA('Daily Log'!L22:L25)</f>
        <v/>
      </c>
    </row>
    <row r="8" ht="15" customHeight="1">
      <c r="A8" s="8" t="n">
        <v>46082</v>
      </c>
      <c r="B8" s="9" t="inlineStr">
        <is>
          <t>Sunday</t>
        </is>
      </c>
      <c r="C8" s="9">
        <f>SUM('Daily Log'!F26:F29)</f>
        <v/>
      </c>
      <c r="D8" s="9">
        <f>SUM('Daily Log'!G26:G29)</f>
        <v/>
      </c>
      <c r="E8" s="9">
        <f>SUM('Daily Log'!H26:H29)</f>
        <v/>
      </c>
      <c r="F8" s="9">
        <f>SUM('Daily Log'!I26:I29)</f>
        <v/>
      </c>
      <c r="G8" s="9">
        <f>SUM('Daily Log'!J26:J29)</f>
        <v/>
      </c>
      <c r="H8" s="9">
        <f>COUNTA('Daily Log'!D26:D29)</f>
        <v/>
      </c>
      <c r="I8" s="9">
        <f>COUNTA('Daily Log'!L26:L29)</f>
        <v/>
      </c>
    </row>
    <row r="9" ht="15" customHeight="1">
      <c r="A9" s="8" t="n">
        <v>46083</v>
      </c>
      <c r="B9" s="9" t="inlineStr">
        <is>
          <t>Monday</t>
        </is>
      </c>
      <c r="C9" s="9">
        <f>SUM('Daily Log'!F30:F33)</f>
        <v/>
      </c>
      <c r="D9" s="9">
        <f>SUM('Daily Log'!G30:G33)</f>
        <v/>
      </c>
      <c r="E9" s="9">
        <f>SUM('Daily Log'!H30:H33)</f>
        <v/>
      </c>
      <c r="F9" s="9">
        <f>SUM('Daily Log'!I30:I33)</f>
        <v/>
      </c>
      <c r="G9" s="9">
        <f>SUM('Daily Log'!J30:J33)</f>
        <v/>
      </c>
      <c r="H9" s="9">
        <f>COUNTA('Daily Log'!D30:D33)</f>
        <v/>
      </c>
      <c r="I9" s="9">
        <f>COUNTA('Daily Log'!L30:L33)</f>
        <v/>
      </c>
    </row>
    <row r="10" ht="15" customHeight="1">
      <c r="A10" s="8" t="n">
        <v>46084</v>
      </c>
      <c r="B10" s="9" t="inlineStr">
        <is>
          <t>Tuesday</t>
        </is>
      </c>
      <c r="C10" s="9">
        <f>SUM('Daily Log'!F34:F37)</f>
        <v/>
      </c>
      <c r="D10" s="9">
        <f>SUM('Daily Log'!G34:G37)</f>
        <v/>
      </c>
      <c r="E10" s="9">
        <f>SUM('Daily Log'!H34:H37)</f>
        <v/>
      </c>
      <c r="F10" s="9">
        <f>SUM('Daily Log'!I34:I37)</f>
        <v/>
      </c>
      <c r="G10" s="9">
        <f>SUM('Daily Log'!J34:J37)</f>
        <v/>
      </c>
      <c r="H10" s="9">
        <f>COUNTA('Daily Log'!D34:D37)</f>
        <v/>
      </c>
      <c r="I10" s="9">
        <f>COUNTA('Daily Log'!L34:L37)</f>
        <v/>
      </c>
    </row>
    <row r="11" ht="15" customHeight="1">
      <c r="A11" s="8" t="n">
        <v>46085</v>
      </c>
      <c r="B11" s="9" t="inlineStr">
        <is>
          <t>Wednesday</t>
        </is>
      </c>
      <c r="C11" s="9">
        <f>SUM('Daily Log'!F38:F41)</f>
        <v/>
      </c>
      <c r="D11" s="9">
        <f>SUM('Daily Log'!G38:G41)</f>
        <v/>
      </c>
      <c r="E11" s="9">
        <f>SUM('Daily Log'!H38:H41)</f>
        <v/>
      </c>
      <c r="F11" s="9">
        <f>SUM('Daily Log'!I38:I41)</f>
        <v/>
      </c>
      <c r="G11" s="9">
        <f>SUM('Daily Log'!J38:J41)</f>
        <v/>
      </c>
      <c r="H11" s="9">
        <f>COUNTA('Daily Log'!D38:D41)</f>
        <v/>
      </c>
      <c r="I11" s="9">
        <f>COUNTA('Daily Log'!L38:L41)</f>
        <v/>
      </c>
    </row>
    <row r="12" ht="15" customHeight="1">
      <c r="A12" s="8" t="n">
        <v>46086</v>
      </c>
      <c r="B12" s="9" t="inlineStr">
        <is>
          <t>Thursday</t>
        </is>
      </c>
      <c r="C12" s="9">
        <f>SUM('Daily Log'!F42:F45)</f>
        <v/>
      </c>
      <c r="D12" s="9">
        <f>SUM('Daily Log'!G42:G45)</f>
        <v/>
      </c>
      <c r="E12" s="9">
        <f>SUM('Daily Log'!H42:H45)</f>
        <v/>
      </c>
      <c r="F12" s="9">
        <f>SUM('Daily Log'!I42:I45)</f>
        <v/>
      </c>
      <c r="G12" s="9">
        <f>SUM('Daily Log'!J42:J45)</f>
        <v/>
      </c>
      <c r="H12" s="9">
        <f>COUNTA('Daily Log'!D42:D45)</f>
        <v/>
      </c>
      <c r="I12" s="9">
        <f>COUNTA('Daily Log'!L42:L45)</f>
        <v/>
      </c>
    </row>
    <row r="13" ht="15" customHeight="1">
      <c r="A13" s="8" t="n">
        <v>46087</v>
      </c>
      <c r="B13" s="9" t="inlineStr">
        <is>
          <t>Friday</t>
        </is>
      </c>
      <c r="C13" s="9">
        <f>SUM('Daily Log'!F46:F49)</f>
        <v/>
      </c>
      <c r="D13" s="9">
        <f>SUM('Daily Log'!G46:G49)</f>
        <v/>
      </c>
      <c r="E13" s="9">
        <f>SUM('Daily Log'!H46:H49)</f>
        <v/>
      </c>
      <c r="F13" s="9">
        <f>SUM('Daily Log'!I46:I49)</f>
        <v/>
      </c>
      <c r="G13" s="9">
        <f>SUM('Daily Log'!J46:J49)</f>
        <v/>
      </c>
      <c r="H13" s="9">
        <f>COUNTA('Daily Log'!D46:D49)</f>
        <v/>
      </c>
      <c r="I13" s="9">
        <f>COUNTA('Daily Log'!L46:L49)</f>
        <v/>
      </c>
    </row>
    <row r="14" ht="15" customHeight="1">
      <c r="A14" s="8" t="n">
        <v>46088</v>
      </c>
      <c r="B14" s="9" t="inlineStr">
        <is>
          <t>Saturday</t>
        </is>
      </c>
      <c r="C14" s="9">
        <f>SUM('Daily Log'!F50:F53)</f>
        <v/>
      </c>
      <c r="D14" s="9">
        <f>SUM('Daily Log'!G50:G53)</f>
        <v/>
      </c>
      <c r="E14" s="9">
        <f>SUM('Daily Log'!H50:H53)</f>
        <v/>
      </c>
      <c r="F14" s="9">
        <f>SUM('Daily Log'!I50:I53)</f>
        <v/>
      </c>
      <c r="G14" s="9">
        <f>SUM('Daily Log'!J50:J53)</f>
        <v/>
      </c>
      <c r="H14" s="9">
        <f>COUNTA('Daily Log'!D50:D53)</f>
        <v/>
      </c>
      <c r="I14" s="9" t="inlineStr">
        <is>
          <t>Avg 6.2 mmol/L, peak 9.7. Activity: 14.7k steps, 3497 kcal. Sleep 66. Snowboarding holiday start.</t>
        </is>
      </c>
    </row>
    <row r="15" ht="15" customHeight="1">
      <c r="A15" s="8" t="n">
        <v>46089</v>
      </c>
      <c r="B15" s="9" t="inlineStr">
        <is>
          <t>Sunday</t>
        </is>
      </c>
      <c r="C15" s="9">
        <f>SUM('Daily Log'!F54:F57)</f>
        <v/>
      </c>
      <c r="D15" s="9">
        <f>SUM('Daily Log'!G54:G57)</f>
        <v/>
      </c>
      <c r="E15" s="9">
        <f>SUM('Daily Log'!H54:H57)</f>
        <v/>
      </c>
      <c r="F15" s="9">
        <f>SUM('Daily Log'!I54:I57)</f>
        <v/>
      </c>
      <c r="G15" s="9">
        <f>SUM('Daily Log'!J54:J57)</f>
        <v/>
      </c>
      <c r="H15" s="9">
        <f>COUNTA('Daily Log'!D54:D57)</f>
        <v/>
      </c>
      <c r="I15" s="9" t="inlineStr">
        <is>
          <t>Avg 5.9, peak 8.9. Activity: 17k steps, 4008 kcal. Sleep 85. Big snowboarding day.</t>
        </is>
      </c>
    </row>
    <row r="16" ht="15" customHeight="1">
      <c r="A16" s="8" t="n">
        <v>46090</v>
      </c>
      <c r="B16" s="9" t="inlineStr">
        <is>
          <t>Monday</t>
        </is>
      </c>
      <c r="C16" s="9">
        <f>SUM('Daily Log'!F58:F61)</f>
        <v/>
      </c>
      <c r="D16" s="9">
        <f>SUM('Daily Log'!G58:G61)</f>
        <v/>
      </c>
      <c r="E16" s="9">
        <f>SUM('Daily Log'!H58:H61)</f>
        <v/>
      </c>
      <c r="F16" s="9">
        <f>SUM('Daily Log'!I58:I61)</f>
        <v/>
      </c>
      <c r="G16" s="9">
        <f>SUM('Daily Log'!J58:J61)</f>
        <v/>
      </c>
      <c r="H16" s="9">
        <f>COUNTA('Daily Log'!D58:D61)</f>
        <v/>
      </c>
      <c r="I16" s="9" t="inlineStr">
        <is>
          <t>Avg 5.5, peak 9.3. Activity: 15.7k steps, 3902 kcal. Sleep 92. Solid day.</t>
        </is>
      </c>
    </row>
    <row r="17" ht="15" customHeight="1">
      <c r="A17" s="8" t="n">
        <v>46091</v>
      </c>
      <c r="B17" s="9" t="inlineStr">
        <is>
          <t>Tuesday</t>
        </is>
      </c>
      <c r="C17" s="9">
        <f>SUM('Daily Log'!F62:F65)</f>
        <v/>
      </c>
      <c r="D17" s="9">
        <f>SUM('Daily Log'!G62:G65)</f>
        <v/>
      </c>
      <c r="E17" s="9">
        <f>SUM('Daily Log'!H62:H65)</f>
        <v/>
      </c>
      <c r="F17" s="9">
        <f>SUM('Daily Log'!I62:I65)</f>
        <v/>
      </c>
      <c r="G17" s="9">
        <f>SUM('Daily Log'!J62:J65)</f>
        <v/>
      </c>
      <c r="H17" s="9">
        <f>COUNTA('Daily Log'!D62:D65)</f>
        <v/>
      </c>
      <c r="I17" s="9" t="inlineStr">
        <is>
          <t>Avg 5.5, peak 11.6 (!). Activity: 7.8k steps, 2992 kcal. Sleep 84. Biggest glucose spike — Tyrolean carbs + beer.</t>
        </is>
      </c>
    </row>
    <row r="18" ht="15" customHeight="1">
      <c r="A18" s="8" t="n">
        <v>46092</v>
      </c>
      <c r="B18" s="9" t="inlineStr">
        <is>
          <t>Wednesday</t>
        </is>
      </c>
      <c r="C18" s="9">
        <f>SUM('Daily Log'!F66:F69)</f>
        <v/>
      </c>
      <c r="D18" s="9">
        <f>SUM('Daily Log'!G66:G69)</f>
        <v/>
      </c>
      <c r="E18" s="9">
        <f>SUM('Daily Log'!H66:H69)</f>
        <v/>
      </c>
      <c r="F18" s="9">
        <f>SUM('Daily Log'!I66:I69)</f>
        <v/>
      </c>
      <c r="G18" s="9">
        <f>SUM('Daily Log'!J66:J69)</f>
        <v/>
      </c>
      <c r="H18" s="9">
        <f>COUNTA('Daily Log'!D66:D69)</f>
        <v/>
      </c>
      <c r="I18" s="9" t="inlineStr">
        <is>
          <t>Avg 5.6, peak 8.3. Activity: 19.9k steps, 3598 kcal. Sleep 85. Most active day. 4 beers.</t>
        </is>
      </c>
    </row>
    <row r="19" ht="15" customHeight="1">
      <c r="A19" s="8" t="n">
        <v>46093</v>
      </c>
      <c r="B19" s="9" t="inlineStr">
        <is>
          <t>Thursday</t>
        </is>
      </c>
      <c r="C19" s="9">
        <f>SUM('Daily Log'!F70:F73)</f>
        <v/>
      </c>
      <c r="D19" s="9">
        <f>SUM('Daily Log'!G70:G73)</f>
        <v/>
      </c>
      <c r="E19" s="9">
        <f>SUM('Daily Log'!H70:H73)</f>
        <v/>
      </c>
      <c r="F19" s="9">
        <f>SUM('Daily Log'!I70:I73)</f>
        <v/>
      </c>
      <c r="G19" s="9">
        <f>SUM('Daily Log'!J70:J73)</f>
        <v/>
      </c>
      <c r="H19" s="9">
        <f>COUNTA('Daily Log'!D70:D73)</f>
        <v/>
      </c>
      <c r="I19" s="9" t="inlineStr">
        <is>
          <t>Avg 5.9, peak 11.3 (!). Oura ring dead — activity data unreliable. Calorie burn likely similar (~3000-4000). Sleep 68. Second biggest spike — Tiroler Gröstl.</t>
        </is>
      </c>
    </row>
    <row r="20" ht="15" customHeight="1">
      <c r="A20" s="8" t="n">
        <v>46094</v>
      </c>
      <c r="B20" s="9" t="inlineStr">
        <is>
          <t>Friday</t>
        </is>
      </c>
      <c r="C20" s="9">
        <f>SUM('Daily Log'!F74:F77)</f>
        <v/>
      </c>
      <c r="D20" s="9">
        <f>SUM('Daily Log'!G74:G77)</f>
        <v/>
      </c>
      <c r="E20" s="9">
        <f>SUM('Daily Log'!H74:H77)</f>
        <v/>
      </c>
      <c r="F20" s="9">
        <f>SUM('Daily Log'!I74:I77)</f>
        <v/>
      </c>
      <c r="G20" s="9">
        <f>SUM('Daily Log'!J74:J77)</f>
        <v/>
      </c>
      <c r="H20" s="9">
        <f>COUNTA('Daily Log'!D74:D77)</f>
        <v/>
      </c>
      <c r="I20" s="9" t="inlineStr">
        <is>
          <t>Avg 5.2, peak 9.7. Activity: 21.3k steps, 4112 kcal. Sleep 89. Highest calorie burn day. Double spike from pizza + pasta.</t>
        </is>
      </c>
    </row>
    <row r="21" ht="15" customHeight="1">
      <c r="A21" s="8" t="n">
        <v>46095</v>
      </c>
      <c r="B21" s="9" t="inlineStr">
        <is>
          <t>Saturday</t>
        </is>
      </c>
      <c r="C21" s="9">
        <f>SUM('Daily Log'!F78:F81)</f>
        <v/>
      </c>
      <c r="D21" s="9">
        <f>SUM('Daily Log'!G78:G81)</f>
        <v/>
      </c>
      <c r="E21" s="9">
        <f>SUM('Daily Log'!H78:H81)</f>
        <v/>
      </c>
      <c r="F21" s="9">
        <f>SUM('Daily Log'!I78:I81)</f>
        <v/>
      </c>
      <c r="G21" s="9">
        <f>SUM('Daily Log'!J78:J81)</f>
        <v/>
      </c>
      <c r="H21" s="9">
        <f>COUNTA('Daily Log'!D78:D81)</f>
        <v/>
      </c>
      <c r="I21" s="9" t="inlineStr">
        <is>
          <t>Avg 4.6, LOW 2.5 (!). Activity: 12.6k steps, 3357 kcal. Sleep 87. Concerning overnight low — flag for Dr Lelde.</t>
        </is>
      </c>
    </row>
    <row r="22" ht="15" customHeight="1">
      <c r="A22" s="8" t="n">
        <v>46096</v>
      </c>
      <c r="B22" s="9" t="inlineStr">
        <is>
          <t>Sunday</t>
        </is>
      </c>
      <c r="C22" s="9">
        <f>SUM('Daily Log'!F82:F85)</f>
        <v/>
      </c>
      <c r="D22" s="9">
        <f>SUM('Daily Log'!G82:G85)</f>
        <v/>
      </c>
      <c r="E22" s="9">
        <f>SUM('Daily Log'!H82:H85)</f>
        <v/>
      </c>
      <c r="F22" s="9">
        <f>SUM('Daily Log'!I82:I85)</f>
        <v/>
      </c>
      <c r="G22" s="9">
        <f>SUM('Daily Log'!J82:J85)</f>
        <v/>
      </c>
      <c r="H22" s="9">
        <f>COUNTA('Daily Log'!D82:D85)</f>
        <v/>
      </c>
      <c r="I22" s="9" t="inlineStr">
        <is>
          <t>Partial data. Sleep 97. Rest day post-holiday.</t>
        </is>
      </c>
    </row>
    <row r="23" ht="15" customHeight="1">
      <c r="A23" s="8" t="n">
        <v>46097</v>
      </c>
      <c r="B23" s="9" t="inlineStr">
        <is>
          <t>Monday</t>
        </is>
      </c>
      <c r="C23" s="9">
        <f>SUM('Daily Log'!F86:F89)</f>
        <v/>
      </c>
      <c r="D23" s="9">
        <f>SUM('Daily Log'!G86:G89)</f>
        <v/>
      </c>
      <c r="E23" s="9">
        <f>SUM('Daily Log'!H86:H89)</f>
        <v/>
      </c>
      <c r="F23" s="9">
        <f>SUM('Daily Log'!I86:I89)</f>
        <v/>
      </c>
      <c r="G23" s="9">
        <f>SUM('Daily Log'!J86:J89)</f>
        <v/>
      </c>
      <c r="H23" s="9">
        <f>COUNTA('Daily Log'!D86:D89)</f>
        <v/>
      </c>
      <c r="I23" s="9">
        <f>COUNTA('Daily Log'!L86:L89)</f>
        <v/>
      </c>
    </row>
    <row r="24" ht="15" customHeight="1">
      <c r="A24" s="8" t="n">
        <v>46098</v>
      </c>
      <c r="B24" s="9" t="inlineStr">
        <is>
          <t>Tuesday</t>
        </is>
      </c>
      <c r="C24" s="9">
        <f>SUM('Daily Log'!F90:F93)</f>
        <v/>
      </c>
      <c r="D24" s="9">
        <f>SUM('Daily Log'!G90:G93)</f>
        <v/>
      </c>
      <c r="E24" s="9">
        <f>SUM('Daily Log'!H90:H93)</f>
        <v/>
      </c>
      <c r="F24" s="9">
        <f>SUM('Daily Log'!I90:I93)</f>
        <v/>
      </c>
      <c r="G24" s="9">
        <f>SUM('Daily Log'!J90:J93)</f>
        <v/>
      </c>
      <c r="H24" s="9">
        <f>COUNTA('Daily Log'!D90:D93)</f>
        <v/>
      </c>
      <c r="I24" s="9">
        <f>COUNTA('Daily Log'!L90:L93)</f>
        <v/>
      </c>
    </row>
    <row r="25" ht="15" customHeight="1">
      <c r="A25" s="8" t="n">
        <v>46099</v>
      </c>
      <c r="B25" s="9" t="inlineStr">
        <is>
          <t>Wednesday</t>
        </is>
      </c>
      <c r="C25" s="9">
        <f>SUM('Daily Log'!F94:F97)</f>
        <v/>
      </c>
      <c r="D25" s="9">
        <f>SUM('Daily Log'!G94:G97)</f>
        <v/>
      </c>
      <c r="E25" s="9">
        <f>SUM('Daily Log'!H94:H97)</f>
        <v/>
      </c>
      <c r="F25" s="9">
        <f>SUM('Daily Log'!I94:I97)</f>
        <v/>
      </c>
      <c r="G25" s="9">
        <f>SUM('Daily Log'!J94:J97)</f>
        <v/>
      </c>
      <c r="H25" s="9">
        <f>COUNTA('Daily Log'!D94:D97)</f>
        <v/>
      </c>
      <c r="I25" s="9">
        <f>COUNTA('Daily Log'!L94:L97)</f>
        <v/>
      </c>
    </row>
    <row r="26" ht="15" customHeight="1">
      <c r="A26" s="8" t="n">
        <v>46100</v>
      </c>
      <c r="B26" s="9" t="inlineStr">
        <is>
          <t>Thursday</t>
        </is>
      </c>
      <c r="C26" s="9">
        <f>SUM('Daily Log'!F98:F101)</f>
        <v/>
      </c>
      <c r="D26" s="9">
        <f>SUM('Daily Log'!G98:G101)</f>
        <v/>
      </c>
      <c r="E26" s="9">
        <f>SUM('Daily Log'!H98:H101)</f>
        <v/>
      </c>
      <c r="F26" s="9">
        <f>SUM('Daily Log'!I98:I101)</f>
        <v/>
      </c>
      <c r="G26" s="9">
        <f>SUM('Daily Log'!J98:J101)</f>
        <v/>
      </c>
      <c r="H26" s="9">
        <f>COUNTA('Daily Log'!D98:D101)</f>
        <v/>
      </c>
      <c r="I26" s="9">
        <f>COUNTA('Daily Log'!L98:L101)</f>
        <v/>
      </c>
    </row>
    <row r="27" ht="15" customHeight="1">
      <c r="A27" s="8" t="n">
        <v>46101</v>
      </c>
      <c r="B27" s="9" t="inlineStr">
        <is>
          <t>Friday</t>
        </is>
      </c>
      <c r="C27" s="9">
        <f>SUM('Daily Log'!F102:F105)</f>
        <v/>
      </c>
      <c r="D27" s="9">
        <f>SUM('Daily Log'!G102:G105)</f>
        <v/>
      </c>
      <c r="E27" s="9">
        <f>SUM('Daily Log'!H102:H105)</f>
        <v/>
      </c>
      <c r="F27" s="9">
        <f>SUM('Daily Log'!I102:I105)</f>
        <v/>
      </c>
      <c r="G27" s="9">
        <f>SUM('Daily Log'!J102:J105)</f>
        <v/>
      </c>
      <c r="H27" s="9">
        <f>COUNTA('Daily Log'!D102:D105)</f>
        <v/>
      </c>
      <c r="I27" s="9">
        <f>COUNTA('Daily Log'!L102:L105)</f>
        <v/>
      </c>
    </row>
    <row r="28" ht="15" customHeight="1">
      <c r="A28" s="14" t="inlineStr">
        <is>
          <t>AVERAGES</t>
        </is>
      </c>
      <c r="C28" s="15">
        <f>AVERAGE(C2:C27)</f>
        <v/>
      </c>
      <c r="D28" s="15">
        <f>AVERAGE(D2:D27)</f>
        <v/>
      </c>
      <c r="E28" s="15">
        <f>AVERAGE(E2:E27)</f>
        <v/>
      </c>
      <c r="F28" s="15">
        <f>AVERAGE(F2:F27)</f>
        <v/>
      </c>
      <c r="G28" s="15">
        <f>AVERAGE(G2:G27)</f>
        <v/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J5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8" customWidth="1" min="1" max="1"/>
    <col width="20" customWidth="1" min="2" max="2"/>
    <col width="15" customWidth="1" min="3" max="4"/>
    <col width="16" customWidth="1" min="5" max="5"/>
    <col width="18" customWidth="1" min="6" max="6"/>
    <col width="16" customWidth="1" min="7" max="8"/>
    <col width="10" customWidth="1" min="9" max="9"/>
    <col width="50" customWidth="1" min="10" max="10"/>
  </cols>
  <sheetData>
    <row r="1" ht="30" customHeight="1">
      <c r="A1" s="16" t="inlineStr">
        <is>
          <t>Recipe Name</t>
        </is>
      </c>
      <c r="B1" s="16" t="inlineStr">
        <is>
          <t>Source</t>
        </is>
      </c>
      <c r="C1" s="16" t="inlineStr">
        <is>
          <t>Cuisine</t>
        </is>
      </c>
      <c r="D1" s="16" t="inlineStr">
        <is>
          <t>Type</t>
        </is>
      </c>
      <c r="E1" s="16" t="inlineStr">
        <is>
          <t>Protein (g/portion)</t>
        </is>
      </c>
      <c r="F1" s="16" t="inlineStr">
        <is>
          <t>Est. Calories/portion</t>
        </is>
      </c>
      <c r="G1" s="16" t="inlineStr">
        <is>
          <t>Est. Carbs/portion</t>
        </is>
      </c>
      <c r="H1" s="16" t="inlineStr">
        <is>
          <t>Est. Fat/portion</t>
        </is>
      </c>
      <c r="I1" s="16" t="inlineStr">
        <is>
          <t>Favourite</t>
        </is>
      </c>
      <c r="J1" s="16" t="inlineStr">
        <is>
          <t>Notion Link</t>
        </is>
      </c>
    </row>
    <row r="2" ht="15" customHeight="1">
      <c r="A2" s="9" t="inlineStr">
        <is>
          <t>Pesto pasta with white beans &amp; halloumi</t>
        </is>
      </c>
      <c r="B2" s="9" t="inlineStr">
        <is>
          <t>Ottolenghi / delicious.com.au</t>
        </is>
      </c>
      <c r="C2" s="9" t="inlineStr">
        <is>
          <t>Italian</t>
        </is>
      </c>
      <c r="D2" s="9" t="inlineStr">
        <is>
          <t>Pasta</t>
        </is>
      </c>
      <c r="E2" s="9" t="inlineStr">
        <is>
          <t>TBC</t>
        </is>
      </c>
      <c r="F2" s="9" t="n">
        <v>685</v>
      </c>
      <c r="G2" s="9" t="n">
        <v>72</v>
      </c>
      <c r="H2" s="9" t="n">
        <v>32</v>
      </c>
      <c r="I2" s="9" t="inlineStr">
        <is>
          <t>Yes</t>
        </is>
      </c>
      <c r="J2" s="9" t="inlineStr">
        <is>
          <t>https://www.notion.so/Pesto-pasta-with-white-beans-and-halloumi-134b05970b7482b08e7701cd826cc5f7</t>
        </is>
      </c>
    </row>
    <row r="3" ht="15" customHeight="1">
      <c r="A3" s="9" t="inlineStr">
        <is>
          <t>Veggie chilli</t>
        </is>
      </c>
      <c r="B3" s="9" t="inlineStr">
        <is>
          <t>Cookie and Kate</t>
        </is>
      </c>
      <c r="C3" s="9" t="inlineStr">
        <is>
          <t>Mexican/American</t>
        </is>
      </c>
      <c r="D3" s="9" t="inlineStr">
        <is>
          <t>Stew</t>
        </is>
      </c>
      <c r="E3" s="9" t="n">
        <v>11</v>
      </c>
      <c r="F3" s="9" t="n">
        <v>250</v>
      </c>
      <c r="G3" s="9" t="n">
        <v>40</v>
      </c>
      <c r="H3" s="9" t="n">
        <v>5</v>
      </c>
      <c r="I3" s="9" t="inlineStr">
        <is>
          <t>No</t>
        </is>
      </c>
      <c r="J3" s="9" t="inlineStr">
        <is>
          <t>https://www.notion.so/Veggie-chilli-2b4b05970b7480f886bccaf38cfd72d9</t>
        </is>
      </c>
    </row>
    <row r="4" ht="15" customHeight="1">
      <c r="A4" s="9" t="inlineStr">
        <is>
          <t>Veggie chilli with silken tofu</t>
        </is>
      </c>
      <c r="B4" s="9" t="inlineStr">
        <is>
          <t>Cookie and Kate + tofu</t>
        </is>
      </c>
      <c r="C4" s="9" t="inlineStr">
        <is>
          <t>Mexican/American</t>
        </is>
      </c>
      <c r="D4" s="9" t="inlineStr">
        <is>
          <t>Stew</t>
        </is>
      </c>
      <c r="E4" s="9" t="n">
        <v>19</v>
      </c>
      <c r="F4" s="9" t="n">
        <v>330</v>
      </c>
      <c r="G4" s="9" t="n">
        <v>43</v>
      </c>
      <c r="H4" s="9" t="n">
        <v>9</v>
      </c>
      <c r="I4" s="9" t="inlineStr">
        <is>
          <t>No</t>
        </is>
      </c>
      <c r="J4" s="9" t="n"/>
    </row>
    <row r="5" ht="15" customHeight="1">
      <c r="A5" s="9" t="inlineStr">
        <is>
          <t>Banana with peanut butter</t>
        </is>
      </c>
      <c r="B5" s="9" t="inlineStr">
        <is>
          <t>Snack</t>
        </is>
      </c>
      <c r="C5" s="9" t="inlineStr">
        <is>
          <t>-</t>
        </is>
      </c>
      <c r="D5" s="9" t="inlineStr">
        <is>
          <t>Snack</t>
        </is>
      </c>
      <c r="E5" s="9" t="n">
        <v>9</v>
      </c>
      <c r="F5" s="9" t="n">
        <v>295</v>
      </c>
      <c r="G5" s="9" t="n">
        <v>33</v>
      </c>
      <c r="H5" s="9" t="n">
        <v>16</v>
      </c>
      <c r="I5" s="9" t="inlineStr">
        <is>
          <t>-</t>
        </is>
      </c>
      <c r="J5" s="9" t="n"/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5.xml><?xml version="1.0" encoding="utf-8"?>
<worksheet xmlns="http://schemas.openxmlformats.org/spreadsheetml/2006/main">
  <sheetPr>
    <tabColor rgb="FFFF6B6B"/>
    <outlinePr summaryBelow="1" summaryRight="1"/>
    <pageSetUpPr/>
  </sheetPr>
  <dimension ref="A1:G7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12" customWidth="1" min="1" max="1"/>
    <col width="10" customWidth="1" min="2" max="2"/>
    <col width="35" customWidth="1" min="3" max="3"/>
    <col width="16" customWidth="1" min="4" max="5"/>
    <col width="14" customWidth="1" min="6" max="6"/>
    <col width="45" customWidth="1" min="7" max="7"/>
  </cols>
  <sheetData>
    <row r="1" ht="30" customHeight="1">
      <c r="A1" s="17" t="inlineStr">
        <is>
          <t>Date</t>
        </is>
      </c>
      <c r="B1" s="17" t="inlineStr">
        <is>
          <t>Time</t>
        </is>
      </c>
      <c r="C1" s="17" t="inlineStr">
        <is>
          <t>Meal / Food</t>
        </is>
      </c>
      <c r="D1" s="17" t="inlineStr">
        <is>
          <t>Pre-meal (mmol/L)</t>
        </is>
      </c>
      <c r="E1" s="17" t="inlineStr">
        <is>
          <t>Post-meal (mmol/L)</t>
        </is>
      </c>
      <c r="F1" s="17" t="inlineStr">
        <is>
          <t>Peak (mmol/L)</t>
        </is>
      </c>
      <c r="G1" s="17" t="inlineStr">
        <is>
          <t>Notes for Dr Lelde</t>
        </is>
      </c>
    </row>
    <row r="2" ht="15" customHeight="1">
      <c r="A2" s="18" t="n">
        <v>46076</v>
      </c>
      <c r="B2" s="9" t="inlineStr">
        <is>
          <t>Evening</t>
        </is>
      </c>
      <c r="C2" s="9" t="inlineStr">
        <is>
          <t>Pesto pasta with white beans &amp; halloumi</t>
        </is>
      </c>
      <c r="D2" s="9" t="n"/>
      <c r="E2" s="9" t="n"/>
      <c r="F2" s="19" t="n">
        <v>7.8</v>
      </c>
      <c r="G2" s="20" t="inlineStr">
        <is>
          <t>Slightly over 7.8 threshold. High-carb pasta meal. Flag for Lelde.</t>
        </is>
      </c>
    </row>
    <row r="3" ht="15" customHeight="1">
      <c r="A3" s="18" t="n">
        <v>46077</v>
      </c>
      <c r="B3" s="9" t="inlineStr">
        <is>
          <t>Morning</t>
        </is>
      </c>
      <c r="C3" s="9" t="inlineStr">
        <is>
          <t>Pesto pasta with white beans &amp; halloumi (leftovers)</t>
        </is>
      </c>
      <c r="D3" s="9" t="n"/>
      <c r="E3" s="9" t="n"/>
      <c r="F3" s="19" t="n">
        <v>7.8</v>
      </c>
      <c r="G3" s="20" t="inlineStr">
        <is>
          <t>Repeated spike over 7.8. Same meal both times. Possible pattern with this recipe.</t>
        </is>
      </c>
    </row>
    <row r="4">
      <c r="A4" t="inlineStr">
        <is>
          <t>2026-03-07</t>
        </is>
      </c>
      <c r="B4" t="inlineStr">
        <is>
          <t>Afternoon/Evening</t>
        </is>
      </c>
      <c r="C4" t="inlineStr">
        <is>
          <t>Chicken sandwiches + filled pasta</t>
        </is>
      </c>
      <c r="E4" t="n">
        <v>9.699999999999999</v>
      </c>
      <c r="F4" t="n">
        <v>9.699999999999999</v>
      </c>
      <c r="G4" t="inlineStr">
        <is>
          <t>Multiple spike windows (15:00-16:00, 18:00, 21:00). Holiday eating — convenience food.</t>
        </is>
      </c>
    </row>
    <row r="5">
      <c r="A5" t="inlineStr">
        <is>
          <t>2026-03-10</t>
        </is>
      </c>
      <c r="B5" t="inlineStr">
        <is>
          <t>Late afternoon</t>
        </is>
      </c>
      <c r="C5" t="inlineStr">
        <is>
          <t>Tyrolean dumpling &amp; Kaiserspätzle + 2 Weissbier</t>
        </is>
      </c>
      <c r="E5" t="n">
        <v>11.6</v>
      </c>
      <c r="F5" t="n">
        <v>11.6</v>
      </c>
      <c r="G5" t="inlineStr">
        <is>
          <t>Biggest spike of the week. Very carb-heavy Tyrolean lunch + beer. Sustained spike 17:26-18:41.</t>
        </is>
      </c>
    </row>
    <row r="6">
      <c r="A6" t="inlineStr">
        <is>
          <t>2026-03-12</t>
        </is>
      </c>
      <c r="B6" t="inlineStr">
        <is>
          <t>Afternoon</t>
        </is>
      </c>
      <c r="C6" t="inlineStr">
        <is>
          <t>Tiroler Gröstl (potatoes, meat, egg)</t>
        </is>
      </c>
      <c r="E6" t="n">
        <v>11.3</v>
      </c>
      <c r="F6" t="n">
        <v>11.3</v>
      </c>
      <c r="G6" t="inlineStr">
        <is>
          <t>Second biggest spike. Potato-heavy traditional dish. Also evening spike to 9.9 from ravioli dinner.</t>
        </is>
      </c>
    </row>
    <row r="7">
      <c r="A7" t="inlineStr">
        <is>
          <t>2026-03-13</t>
        </is>
      </c>
      <c r="B7" t="inlineStr">
        <is>
          <t>Afternoon/Evening</t>
        </is>
      </c>
      <c r="C7" t="inlineStr">
        <is>
          <t>Pizza + gochujang veg pasta</t>
        </is>
      </c>
      <c r="E7" t="n">
        <v>9.699999999999999</v>
      </c>
      <c r="F7" t="n">
        <v>9.699999999999999</v>
      </c>
      <c r="G7" t="inlineStr">
        <is>
          <t>Two separate spike events — post-pizza at 15:11 and post-dinner at 19:00-20:00. 4 beers previous night may have affected baseline.</t>
        </is>
      </c>
    </row>
  </sheetData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2026-02-24T14:10:17Z</dcterms:created>
  <dcterms:modified xsi:type="dcterms:W3CDTF">2026-03-19T15:38:08Z</dcterms:modified>
  <cp:lastModifiedBy>Unknown</cp:lastModifiedBy>
</cp:coreProperties>
</file>